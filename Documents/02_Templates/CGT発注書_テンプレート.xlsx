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https://cellgentech-my.sharepoint.com/personal/sengas_cellgentech_com/Documents/sharepointリスト化/Documents/"/>
    </mc:Choice>
  </mc:AlternateContent>
  <xr:revisionPtr revIDLastSave="6" documentId="8_{7A8DEF87-4918-47AE-83AB-C1EFFF06838C}" xr6:coauthVersionLast="47" xr6:coauthVersionMax="47" xr10:uidLastSave="{2EEF638B-77C9-4163-944F-1A8ED23C4D3F}"/>
  <bookViews>
    <workbookView xWindow="28680" yWindow="-120" windowWidth="29040" windowHeight="15720" tabRatio="812" activeTab="2" xr2:uid="{00000000-000D-0000-FFFF-FFFF00000000}"/>
  </bookViews>
  <sheets>
    <sheet name="発注依頼票" sheetId="28" r:id="rId1"/>
    <sheet name="発注書" sheetId="26" r:id="rId2"/>
    <sheet name="発注請書" sheetId="27" r:id="rId3"/>
  </sheets>
  <externalReferences>
    <externalReference r:id="rId4"/>
  </externalReferences>
  <definedNames>
    <definedName name="Qulaity">#REF!</definedName>
    <definedName name="メーカー">#REF!</definedName>
    <definedName name="メーカーコード">[1]Sheet2!$B$3:$B$5</definedName>
    <definedName name="試薬・資材">#REF!</definedName>
    <definedName name="製造・品質">#REF!</definedName>
    <definedName name="発注業者">#REF!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23" i="27" l="1"/>
  <c r="R24" i="27" s="1"/>
  <c r="AB13" i="27"/>
  <c r="V13" i="27"/>
  <c r="B17" i="26"/>
  <c r="P29" i="27"/>
  <c r="R30" i="27" s="1"/>
  <c r="P27" i="27"/>
  <c r="R28" i="27" s="1"/>
  <c r="L30" i="27"/>
  <c r="L29" i="27"/>
  <c r="L28" i="27"/>
  <c r="L27" i="27"/>
  <c r="E29" i="27"/>
  <c r="E27" i="27"/>
  <c r="B29" i="27"/>
  <c r="B27" i="27"/>
  <c r="AB29" i="27"/>
  <c r="V29" i="27"/>
  <c r="AB27" i="27"/>
  <c r="V27" i="27"/>
  <c r="P35" i="26"/>
  <c r="P33" i="26"/>
  <c r="L36" i="26"/>
  <c r="L35" i="26"/>
  <c r="L34" i="26"/>
  <c r="L33" i="26"/>
  <c r="E35" i="26"/>
  <c r="B35" i="26"/>
  <c r="E33" i="26"/>
  <c r="B33" i="26"/>
  <c r="P25" i="27"/>
  <c r="R26" i="27" s="1"/>
  <c r="L26" i="27"/>
  <c r="L25" i="27"/>
  <c r="E25" i="27"/>
  <c r="B25" i="27"/>
  <c r="L24" i="27"/>
  <c r="L23" i="27"/>
  <c r="E23" i="27"/>
  <c r="B23" i="27"/>
  <c r="AB25" i="27"/>
  <c r="V25" i="27"/>
  <c r="AB23" i="27"/>
  <c r="V23" i="27"/>
  <c r="P31" i="26"/>
  <c r="L32" i="26"/>
  <c r="L31" i="26"/>
  <c r="E31" i="26"/>
  <c r="B31" i="26"/>
  <c r="P29" i="26"/>
  <c r="L30" i="26"/>
  <c r="L29" i="26"/>
  <c r="E29" i="26"/>
  <c r="B29" i="26"/>
  <c r="P21" i="27"/>
  <c r="R22" i="27" s="1"/>
  <c r="L22" i="27"/>
  <c r="L21" i="27"/>
  <c r="E21" i="27"/>
  <c r="B21" i="27"/>
  <c r="V21" i="27"/>
  <c r="AB21" i="27"/>
  <c r="P27" i="26"/>
  <c r="L28" i="26"/>
  <c r="L27" i="26"/>
  <c r="E27" i="26"/>
  <c r="B27" i="26"/>
  <c r="P19" i="27"/>
  <c r="R20" i="27" s="1"/>
  <c r="L20" i="27"/>
  <c r="L19" i="27"/>
  <c r="E19" i="27"/>
  <c r="B19" i="27"/>
  <c r="P25" i="26"/>
  <c r="L26" i="26"/>
  <c r="L25" i="26"/>
  <c r="B25" i="26"/>
  <c r="E25" i="26"/>
  <c r="P17" i="27"/>
  <c r="R18" i="27" s="1"/>
  <c r="P15" i="27"/>
  <c r="R16" i="27" s="1"/>
  <c r="P13" i="27"/>
  <c r="R14" i="27" s="1"/>
  <c r="AB19" i="27"/>
  <c r="V19" i="27"/>
  <c r="AB17" i="27"/>
  <c r="V17" i="27"/>
  <c r="AB15" i="27"/>
  <c r="V15" i="27"/>
  <c r="E17" i="27"/>
  <c r="B17" i="27"/>
  <c r="L18" i="27"/>
  <c r="L17" i="27"/>
  <c r="L16" i="27"/>
  <c r="L15" i="27"/>
  <c r="E15" i="27"/>
  <c r="B15" i="27"/>
  <c r="L22" i="26"/>
  <c r="L21" i="26"/>
  <c r="E21" i="26"/>
  <c r="B21" i="26"/>
  <c r="P23" i="26"/>
  <c r="P21" i="26"/>
  <c r="L24" i="26"/>
  <c r="L23" i="26"/>
  <c r="E23" i="26"/>
  <c r="B23" i="26"/>
  <c r="L14" i="27"/>
  <c r="L13" i="27"/>
  <c r="E13" i="27"/>
  <c r="B13" i="27"/>
  <c r="P19" i="26"/>
  <c r="L20" i="26"/>
  <c r="L19" i="26"/>
  <c r="E19" i="26"/>
  <c r="B19" i="26"/>
  <c r="V11" i="27"/>
  <c r="AB11" i="27"/>
  <c r="P11" i="27"/>
  <c r="R12" i="27" s="1"/>
  <c r="L12" i="27"/>
  <c r="L11" i="27"/>
  <c r="E11" i="27"/>
  <c r="B11" i="27"/>
  <c r="P17" i="26"/>
  <c r="L18" i="26"/>
  <c r="L17" i="26"/>
  <c r="E17" i="26"/>
  <c r="R31" i="27" l="1"/>
  <c r="Z2" i="26"/>
  <c r="R32" i="27" l="1"/>
  <c r="R33" i="2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ishimitsut</author>
  </authors>
  <commentList>
    <comment ref="W5" authorId="0" shapeId="0" xr:uid="{C9C3C1FE-D73C-440D-8D90-D002C05A09A3}">
      <text>
        <r>
          <rPr>
            <b/>
            <sz val="9"/>
            <color indexed="81"/>
            <rFont val="MS P ゴシック"/>
            <family val="3"/>
            <charset val="128"/>
          </rPr>
          <t>CGT:</t>
        </r>
        <r>
          <rPr>
            <sz val="9"/>
            <color indexed="81"/>
            <rFont val="MS P ゴシック"/>
            <family val="3"/>
            <charset val="128"/>
          </rPr>
          <t xml:space="preserve">
黄色で着色した部分についてご入力ください。
ご入力いただいた「日付」
ご担当者の方の「お名前」
製品毎の「単価」「納品予定日」
もし連絡事項があれば「備考」に入力してください。
</t>
        </r>
      </text>
    </comment>
  </commentList>
</comments>
</file>

<file path=xl/sharedStrings.xml><?xml version="1.0" encoding="utf-8"?>
<sst xmlns="http://schemas.openxmlformats.org/spreadsheetml/2006/main" count="55" uniqueCount="45">
  <si>
    <t>発注書</t>
    <rPh sb="0" eb="3">
      <t>ハッチュウショ</t>
    </rPh>
    <phoneticPr fontId="8"/>
  </si>
  <si>
    <t>御中</t>
    <rPh sb="0" eb="2">
      <t>オンチュウ</t>
    </rPh>
    <phoneticPr fontId="8"/>
  </si>
  <si>
    <t>千葉県千葉市中央区亥鼻1-8-15</t>
    <rPh sb="0" eb="9">
      <t>チバケンチバシチュウオウク</t>
    </rPh>
    <rPh sb="9" eb="11">
      <t>イノハナ</t>
    </rPh>
    <phoneticPr fontId="8"/>
  </si>
  <si>
    <t>セルジェンテック株式会社</t>
    <rPh sb="8" eb="12">
      <t>カブシキガイシャ</t>
    </rPh>
    <phoneticPr fontId="8"/>
  </si>
  <si>
    <t>担当：</t>
    <rPh sb="0" eb="2">
      <t>タントウ</t>
    </rPh>
    <phoneticPr fontId="8"/>
  </si>
  <si>
    <t>TEL：FAX　043-441-4121</t>
    <phoneticPr fontId="8"/>
  </si>
  <si>
    <t>平素よりお世話になっております。下記の通り発注させて頂きますのでご確認下さい。</t>
    <rPh sb="0" eb="2">
      <t>ヘイソ</t>
    </rPh>
    <rPh sb="5" eb="7">
      <t>セワ</t>
    </rPh>
    <phoneticPr fontId="8"/>
  </si>
  <si>
    <t>何卒、宜しくお願い申し上げます。</t>
    <rPh sb="0" eb="2">
      <t>ナニトゾ</t>
    </rPh>
    <rPh sb="3" eb="4">
      <t>ヨロ</t>
    </rPh>
    <rPh sb="7" eb="8">
      <t>ネガ</t>
    </rPh>
    <rPh sb="9" eb="10">
      <t>モウ</t>
    </rPh>
    <rPh sb="11" eb="12">
      <t>ア</t>
    </rPh>
    <phoneticPr fontId="8"/>
  </si>
  <si>
    <t>№</t>
    <phoneticPr fontId="8"/>
  </si>
  <si>
    <t>管理ID</t>
    <rPh sb="0" eb="2">
      <t>カンリ</t>
    </rPh>
    <phoneticPr fontId="8"/>
  </si>
  <si>
    <t>品名</t>
    <rPh sb="0" eb="2">
      <t>ヒンメイ</t>
    </rPh>
    <phoneticPr fontId="8"/>
  </si>
  <si>
    <t>メーカー</t>
    <phoneticPr fontId="8"/>
  </si>
  <si>
    <t>数量</t>
    <rPh sb="0" eb="2">
      <t>スウリョウ</t>
    </rPh>
    <phoneticPr fontId="8"/>
  </si>
  <si>
    <t>納品先</t>
    <rPh sb="0" eb="3">
      <t>ノウヒンサキ</t>
    </rPh>
    <phoneticPr fontId="8"/>
  </si>
  <si>
    <t>見積書番号</t>
    <rPh sb="0" eb="5">
      <t>ミツモリショバンゴウ</t>
    </rPh>
    <phoneticPr fontId="8"/>
  </si>
  <si>
    <t>型番</t>
    <rPh sb="0" eb="2">
      <t>カタバン</t>
    </rPh>
    <phoneticPr fontId="8"/>
  </si>
  <si>
    <t>備考</t>
    <rPh sb="0" eb="2">
      <t>ビコウ</t>
    </rPh>
    <phoneticPr fontId="8"/>
  </si>
  <si>
    <t>発注請書</t>
    <rPh sb="0" eb="4">
      <t>ハッチュウウケショ</t>
    </rPh>
    <phoneticPr fontId="8"/>
  </si>
  <si>
    <t>ご入力日：</t>
    <rPh sb="1" eb="4">
      <t>ニュウリョクビ</t>
    </rPh>
    <phoneticPr fontId="8"/>
  </si>
  <si>
    <t>殿</t>
    <rPh sb="0" eb="1">
      <t>ドノ</t>
    </rPh>
    <phoneticPr fontId="8"/>
  </si>
  <si>
    <t>貴社名：</t>
    <rPh sb="0" eb="3">
      <t>キシャメイ</t>
    </rPh>
    <phoneticPr fontId="8"/>
  </si>
  <si>
    <t>ご担当者名：</t>
    <rPh sb="1" eb="4">
      <t>タントウシャ</t>
    </rPh>
    <rPh sb="4" eb="5">
      <t>メイ</t>
    </rPh>
    <phoneticPr fontId="8"/>
  </si>
  <si>
    <t>下記の通り発注を承りましたので発注請書をお送りいたします。</t>
    <rPh sb="0" eb="2">
      <t>カキ</t>
    </rPh>
    <rPh sb="3" eb="4">
      <t>トオ</t>
    </rPh>
    <rPh sb="5" eb="7">
      <t>ハッチュウ</t>
    </rPh>
    <rPh sb="8" eb="9">
      <t>ウケタマワ</t>
    </rPh>
    <rPh sb="15" eb="19">
      <t>ハッチュウウケショ</t>
    </rPh>
    <rPh sb="21" eb="22">
      <t>オク</t>
    </rPh>
    <phoneticPr fontId="8"/>
  </si>
  <si>
    <t>単価(税抜)</t>
    <rPh sb="0" eb="2">
      <t>タンカ</t>
    </rPh>
    <rPh sb="3" eb="5">
      <t>ゼイヌキ</t>
    </rPh>
    <phoneticPr fontId="8"/>
  </si>
  <si>
    <t>小計(税抜)</t>
    <rPh sb="0" eb="2">
      <t>ショウケイ</t>
    </rPh>
    <rPh sb="3" eb="5">
      <t>ゼイヌキ</t>
    </rPh>
    <phoneticPr fontId="8"/>
  </si>
  <si>
    <t>納品予定日</t>
    <rPh sb="0" eb="5">
      <t>ノウヒンヨテイビ</t>
    </rPh>
    <phoneticPr fontId="8"/>
  </si>
  <si>
    <t>小計</t>
    <rPh sb="0" eb="2">
      <t>ショウケイ</t>
    </rPh>
    <phoneticPr fontId="8"/>
  </si>
  <si>
    <t>消費税額</t>
    <rPh sb="0" eb="3">
      <t>ショウヒゼイ</t>
    </rPh>
    <rPh sb="3" eb="4">
      <t>ガク</t>
    </rPh>
    <phoneticPr fontId="8"/>
  </si>
  <si>
    <t>合計</t>
    <rPh sb="0" eb="2">
      <t>ゴウケイ</t>
    </rPh>
    <phoneticPr fontId="8"/>
  </si>
  <si>
    <t>※黄色で着色した部分についてご入力ください。</t>
    <rPh sb="1" eb="3">
      <t>キイロ</t>
    </rPh>
    <rPh sb="4" eb="6">
      <t>チャクショク</t>
    </rPh>
    <rPh sb="8" eb="10">
      <t>ブブン</t>
    </rPh>
    <rPh sb="15" eb="17">
      <t>ニュウリョク</t>
    </rPh>
    <phoneticPr fontId="8"/>
  </si>
  <si>
    <t>下記発注内容で受注頂ける場合はお手数ですが発注請書に納品予定日、金額をご入力の上、３日以内にご返送ください。</t>
    <rPh sb="0" eb="2">
      <t>カキ</t>
    </rPh>
    <rPh sb="2" eb="6">
      <t>ハッチュウナイヨウ</t>
    </rPh>
    <rPh sb="7" eb="9">
      <t>ジュチュウ</t>
    </rPh>
    <rPh sb="9" eb="10">
      <t>イタダ</t>
    </rPh>
    <rPh sb="12" eb="14">
      <t>バアイ</t>
    </rPh>
    <rPh sb="16" eb="18">
      <t>テスウ</t>
    </rPh>
    <phoneticPr fontId="8"/>
  </si>
  <si>
    <t>ID#
(YYMM-XXX-PJ code)</t>
    <phoneticPr fontId="18"/>
  </si>
  <si>
    <t>PJコード</t>
    <phoneticPr fontId="18"/>
  </si>
  <si>
    <t>発注者</t>
    <rPh sb="0" eb="3">
      <t>ハッチュウシャ</t>
    </rPh>
    <phoneticPr fontId="18"/>
  </si>
  <si>
    <t>品名</t>
    <rPh sb="0" eb="2">
      <t>ヒンメイ</t>
    </rPh>
    <phoneticPr fontId="18"/>
  </si>
  <si>
    <t>備考</t>
    <rPh sb="0" eb="2">
      <t>ビコウ</t>
    </rPh>
    <phoneticPr fontId="18"/>
  </si>
  <si>
    <t>メーカー</t>
    <phoneticPr fontId="18"/>
  </si>
  <si>
    <t>メーカーコード</t>
    <phoneticPr fontId="18"/>
  </si>
  <si>
    <t>業者</t>
    <rPh sb="0" eb="2">
      <t>ギョウシャ</t>
    </rPh>
    <phoneticPr fontId="18"/>
  </si>
  <si>
    <t>注文数
（販売数量）</t>
    <phoneticPr fontId="18"/>
  </si>
  <si>
    <t>千賀　聡志</t>
    <rPh sb="0" eb="2">
      <t>センガ</t>
    </rPh>
    <rPh sb="3" eb="5">
      <t>サトシ</t>
    </rPh>
    <phoneticPr fontId="8"/>
  </si>
  <si>
    <t>千葉大亥鼻イノベーションプラザ208</t>
    <rPh sb="0" eb="5">
      <t>チバダイイノハナ</t>
    </rPh>
    <phoneticPr fontId="8"/>
  </si>
  <si>
    <t>株式会社〇〇</t>
    <rPh sb="0" eb="4">
      <t>カブシキガイシャ</t>
    </rPh>
    <phoneticPr fontId="8"/>
  </si>
  <si>
    <t>納品場所/発注者</t>
    <rPh sb="0" eb="2">
      <t>ノウヒン</t>
    </rPh>
    <rPh sb="2" eb="4">
      <t>バショ</t>
    </rPh>
    <rPh sb="5" eb="7">
      <t>ハッチュウ</t>
    </rPh>
    <rPh sb="7" eb="8">
      <t>シャ</t>
    </rPh>
    <phoneticPr fontId="5"/>
  </si>
  <si>
    <t>株式会社〇〇</t>
    <rPh sb="0" eb="4">
      <t>カブシキガイシャ</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</si>
</sst>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quot;年&quot;m&quot;月&quot;d&quot;日&quot;;@"/>
    <numFmt numFmtId="177" formatCode="0_);[Red]\(0\)"/>
    <numFmt numFmtId="178" formatCode="0_ "/>
  </numFmts>
  <fonts count="19">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3"/>
      <charset val="128"/>
      <scheme val="minor"/>
    </font>
    <font>
      <sz val="6"/>
      <name val="ＭＳ Ｐゴシック"/>
      <family val="3"/>
      <charset val="128"/>
      <scheme val="minor"/>
    </font>
    <font>
      <sz val="12"/>
      <color theme="1"/>
      <name val="ＭＳ Ｐゴシック"/>
      <family val="3"/>
      <charset val="128"/>
      <scheme val="minor"/>
    </font>
    <font>
      <sz val="18"/>
      <color theme="1"/>
      <name val="ＭＳ Ｐゴシック"/>
      <family val="2"/>
      <charset val="128"/>
      <scheme val="minor"/>
    </font>
    <font>
      <sz val="6"/>
      <name val="ＭＳ Ｐゴシック"/>
      <family val="2"/>
      <charset val="128"/>
      <scheme val="minor"/>
    </font>
    <font>
      <sz val="10"/>
      <color theme="1"/>
      <name val="ＭＳ Ｐゴシック"/>
      <family val="3"/>
      <charset val="128"/>
      <scheme val="minor"/>
    </font>
    <font>
      <sz val="10"/>
      <color theme="1"/>
      <name val="ＭＳ Ｐゴシック"/>
      <family val="2"/>
      <charset val="128"/>
      <scheme val="minor"/>
    </font>
    <font>
      <sz val="9"/>
      <color theme="1"/>
      <name val="ＭＳ Ｐゴシック"/>
      <family val="2"/>
      <charset val="128"/>
      <scheme val="minor"/>
    </font>
    <font>
      <sz val="9"/>
      <color theme="1"/>
      <name val="ＭＳ Ｐゴシック"/>
      <family val="3"/>
      <charset val="128"/>
      <scheme val="minor"/>
    </font>
    <font>
      <sz val="8"/>
      <color theme="1"/>
      <name val="ＭＳ Ｐゴシック"/>
      <family val="3"/>
      <charset val="128"/>
      <scheme val="minor"/>
    </font>
    <font>
      <b/>
      <sz val="9"/>
      <color indexed="81"/>
      <name val="MS P ゴシック"/>
      <family val="3"/>
      <charset val="128"/>
    </font>
    <font>
      <sz val="9"/>
      <color indexed="81"/>
      <name val="MS P ゴシック"/>
      <family val="3"/>
      <charset val="128"/>
    </font>
    <font>
      <sz val="12"/>
      <color theme="1"/>
      <name val="ＭＳ Ｐゴシック"/>
      <family val="2"/>
      <charset val="128"/>
      <scheme val="minor"/>
    </font>
    <font>
      <sz val="11"/>
      <name val="MS UI Gothic"/>
      <family val="3"/>
      <charset val="128"/>
    </font>
    <font>
      <sz val="6"/>
      <name val="ＭＳ Ｐゴシック"/>
      <family val="3"/>
      <charset val="128"/>
    </font>
  </fonts>
  <fills count="6">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2"/>
        <bgColor indexed="64"/>
      </patternFill>
    </fill>
  </fills>
  <borders count="57">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top style="thin">
        <color indexed="64"/>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hair">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double">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hair">
        <color indexed="64"/>
      </left>
      <right style="hair">
        <color indexed="64"/>
      </right>
      <top style="thin">
        <color indexed="64"/>
      </top>
      <bottom style="dashed">
        <color indexed="64"/>
      </bottom>
      <diagonal/>
    </border>
    <border>
      <left style="hair">
        <color indexed="64"/>
      </left>
      <right style="hair">
        <color indexed="64"/>
      </right>
      <top style="dashed">
        <color indexed="64"/>
      </top>
      <bottom style="dashed">
        <color indexed="64"/>
      </bottom>
      <diagonal/>
    </border>
    <border>
      <left style="hair">
        <color indexed="64"/>
      </left>
      <right style="hair">
        <color indexed="64"/>
      </right>
      <top style="dashed">
        <color indexed="64"/>
      </top>
      <bottom style="thin">
        <color indexed="64"/>
      </bottom>
      <diagonal/>
    </border>
    <border>
      <left style="hair">
        <color indexed="64"/>
      </left>
      <right style="hair">
        <color indexed="64"/>
      </right>
      <top/>
      <bottom style="dashed">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medium">
        <color indexed="64"/>
      </top>
      <bottom style="double">
        <color indexed="64"/>
      </bottom>
      <diagonal/>
    </border>
    <border>
      <left/>
      <right style="thin">
        <color indexed="64"/>
      </right>
      <top style="thin">
        <color indexed="64"/>
      </top>
      <bottom style="medium">
        <color indexed="64"/>
      </bottom>
      <diagonal/>
    </border>
  </borders>
  <cellStyleXfs count="14">
    <xf numFmtId="0" fontId="0" fillId="0" borderId="0">
      <alignment vertical="center"/>
    </xf>
    <xf numFmtId="38" fontId="4" fillId="0" borderId="0" applyFont="0" applyFill="0" applyBorder="0" applyAlignment="0" applyProtection="0">
      <alignment vertical="center"/>
    </xf>
    <xf numFmtId="0" fontId="4" fillId="0" borderId="0">
      <alignment vertical="center"/>
    </xf>
    <xf numFmtId="0" fontId="4"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1" fillId="0" borderId="0">
      <alignment vertical="center"/>
    </xf>
    <xf numFmtId="38" fontId="1" fillId="0" borderId="0" applyFont="0" applyFill="0" applyBorder="0" applyAlignment="0" applyProtection="0">
      <alignment vertical="center"/>
    </xf>
  </cellStyleXfs>
  <cellXfs count="158">
    <xf numFmtId="0" fontId="0" fillId="0" borderId="0" xfId="0">
      <alignment vertical="center"/>
    </xf>
    <xf numFmtId="0" fontId="10" fillId="0" borderId="0" xfId="12" applyFont="1">
      <alignment vertical="center"/>
    </xf>
    <xf numFmtId="0" fontId="11" fillId="0" borderId="0" xfId="12" applyFont="1">
      <alignment vertical="center"/>
    </xf>
    <xf numFmtId="31" fontId="9" fillId="0" borderId="29" xfId="12" applyNumberFormat="1" applyFont="1" applyBorder="1">
      <alignment vertical="center"/>
    </xf>
    <xf numFmtId="31" fontId="9" fillId="0" borderId="0" xfId="12" applyNumberFormat="1" applyFont="1">
      <alignment vertical="center"/>
    </xf>
    <xf numFmtId="0" fontId="10" fillId="0" borderId="30" xfId="12" applyFont="1" applyBorder="1">
      <alignment vertical="center"/>
    </xf>
    <xf numFmtId="0" fontId="10" fillId="0" borderId="29" xfId="12" applyFont="1" applyBorder="1">
      <alignment vertical="center"/>
    </xf>
    <xf numFmtId="0" fontId="10" fillId="0" borderId="31" xfId="12" applyFont="1" applyBorder="1">
      <alignment vertical="center"/>
    </xf>
    <xf numFmtId="0" fontId="10" fillId="0" borderId="1" xfId="12" applyFont="1" applyBorder="1">
      <alignment vertical="center"/>
    </xf>
    <xf numFmtId="0" fontId="10" fillId="0" borderId="32" xfId="12" applyFont="1" applyBorder="1">
      <alignment vertical="center"/>
    </xf>
    <xf numFmtId="0" fontId="17" fillId="0" borderId="33" xfId="0" applyFont="1" applyBorder="1" applyAlignment="1">
      <alignment horizontal="center" vertical="center"/>
    </xf>
    <xf numFmtId="0" fontId="17" fillId="0" borderId="33" xfId="0" applyFont="1" applyBorder="1" applyAlignment="1">
      <alignment vertical="center" shrinkToFit="1"/>
    </xf>
    <xf numFmtId="49" fontId="17" fillId="0" borderId="33" xfId="0" applyNumberFormat="1" applyFont="1" applyBorder="1" applyAlignment="1">
      <alignment vertical="center" shrinkToFit="1"/>
    </xf>
    <xf numFmtId="0" fontId="17" fillId="0" borderId="33" xfId="0" applyFont="1" applyBorder="1" applyAlignment="1">
      <alignment horizontal="center" vertical="center" shrinkToFit="1"/>
    </xf>
    <xf numFmtId="0" fontId="17" fillId="0" borderId="35" xfId="0" applyFont="1" applyBorder="1" applyAlignment="1">
      <alignment horizontal="center" vertical="center" wrapText="1"/>
    </xf>
    <xf numFmtId="0" fontId="17" fillId="0" borderId="36" xfId="0" applyFont="1" applyBorder="1" applyAlignment="1">
      <alignment horizontal="center" vertical="center" wrapText="1"/>
    </xf>
    <xf numFmtId="0" fontId="17" fillId="0" borderId="36" xfId="0" applyFont="1" applyBorder="1" applyAlignment="1">
      <alignment horizontal="center" vertical="center"/>
    </xf>
    <xf numFmtId="0" fontId="17" fillId="0" borderId="37" xfId="0" applyFont="1" applyBorder="1" applyAlignment="1">
      <alignment horizontal="center" vertical="center"/>
    </xf>
    <xf numFmtId="0" fontId="17" fillId="0" borderId="38" xfId="0" applyFont="1" applyBorder="1" applyAlignment="1">
      <alignment horizontal="center" vertical="center"/>
    </xf>
    <xf numFmtId="0" fontId="17" fillId="0" borderId="39" xfId="0" applyFont="1" applyBorder="1" applyAlignment="1">
      <alignment horizontal="center" vertical="center"/>
    </xf>
    <xf numFmtId="0" fontId="17" fillId="0" borderId="41" xfId="0" applyFont="1" applyBorder="1" applyAlignment="1">
      <alignment horizontal="center" vertical="center"/>
    </xf>
    <xf numFmtId="0" fontId="17" fillId="0" borderId="42" xfId="0" applyFont="1" applyBorder="1" applyAlignment="1">
      <alignment horizontal="center" vertical="center"/>
    </xf>
    <xf numFmtId="0" fontId="17" fillId="0" borderId="43" xfId="0" applyFont="1" applyBorder="1" applyAlignment="1">
      <alignment horizontal="center" vertical="center"/>
    </xf>
    <xf numFmtId="0" fontId="17" fillId="0" borderId="43" xfId="0" applyFont="1" applyBorder="1" applyAlignment="1">
      <alignment vertical="center" shrinkToFit="1"/>
    </xf>
    <xf numFmtId="49" fontId="17" fillId="0" borderId="43" xfId="0" applyNumberFormat="1" applyFont="1" applyBorder="1" applyAlignment="1">
      <alignment vertical="center" shrinkToFit="1"/>
    </xf>
    <xf numFmtId="0" fontId="17" fillId="0" borderId="43" xfId="0" applyFont="1" applyBorder="1" applyAlignment="1">
      <alignment horizontal="center" vertical="center" shrinkToFit="1"/>
    </xf>
    <xf numFmtId="0" fontId="17" fillId="0" borderId="45" xfId="0" applyFont="1" applyBorder="1" applyAlignment="1">
      <alignment horizontal="center" vertical="center" wrapText="1"/>
    </xf>
    <xf numFmtId="0" fontId="17" fillId="0" borderId="46" xfId="0" applyFont="1" applyBorder="1" applyAlignment="1">
      <alignment horizontal="center" vertical="center"/>
    </xf>
    <xf numFmtId="0" fontId="17" fillId="0" borderId="47" xfId="0" applyFont="1" applyBorder="1" applyAlignment="1">
      <alignment horizontal="center" vertical="center"/>
    </xf>
    <xf numFmtId="0" fontId="17" fillId="0" borderId="40" xfId="0" applyFont="1" applyBorder="1" applyAlignment="1">
      <alignment horizontal="center" vertical="center" wrapText="1"/>
    </xf>
    <xf numFmtId="0" fontId="17" fillId="0" borderId="34" xfId="0" applyFont="1" applyBorder="1" applyAlignment="1">
      <alignment horizontal="center" vertical="center"/>
    </xf>
    <xf numFmtId="0" fontId="17" fillId="0" borderId="44" xfId="0" applyFont="1" applyBorder="1" applyAlignment="1">
      <alignment horizontal="center" vertical="center"/>
    </xf>
    <xf numFmtId="177" fontId="17" fillId="0" borderId="33" xfId="0" applyNumberFormat="1" applyFont="1" applyBorder="1" applyAlignment="1">
      <alignment horizontal="center" vertical="center" shrinkToFit="1"/>
    </xf>
    <xf numFmtId="177" fontId="17" fillId="0" borderId="43" xfId="0" applyNumberFormat="1" applyFont="1" applyBorder="1" applyAlignment="1">
      <alignment horizontal="center" vertical="center" shrinkToFit="1"/>
    </xf>
    <xf numFmtId="0" fontId="17" fillId="0" borderId="52" xfId="0" applyFont="1" applyBorder="1" applyAlignment="1">
      <alignment horizontal="center" vertical="center"/>
    </xf>
    <xf numFmtId="0" fontId="17" fillId="0" borderId="53" xfId="0" applyFont="1" applyBorder="1" applyAlignment="1">
      <alignment horizontal="center" vertical="center"/>
    </xf>
    <xf numFmtId="0" fontId="17" fillId="0" borderId="54" xfId="0" applyFont="1" applyBorder="1" applyAlignment="1">
      <alignment horizontal="center" vertical="center"/>
    </xf>
    <xf numFmtId="0" fontId="17" fillId="0" borderId="54" xfId="0" applyFont="1" applyBorder="1" applyAlignment="1">
      <alignment vertical="center" shrinkToFit="1"/>
    </xf>
    <xf numFmtId="49" fontId="17" fillId="0" borderId="54" xfId="0" applyNumberFormat="1" applyFont="1" applyBorder="1" applyAlignment="1">
      <alignment vertical="center" shrinkToFit="1"/>
    </xf>
    <xf numFmtId="0" fontId="17" fillId="0" borderId="54" xfId="0" applyFont="1" applyBorder="1" applyAlignment="1">
      <alignment horizontal="center" vertical="center" shrinkToFit="1"/>
    </xf>
    <xf numFmtId="177" fontId="17" fillId="0" borderId="54" xfId="0" applyNumberFormat="1" applyFont="1" applyBorder="1" applyAlignment="1">
      <alignment horizontal="center" vertical="center" shrinkToFit="1"/>
    </xf>
    <xf numFmtId="0" fontId="17" fillId="0" borderId="55" xfId="0" applyFont="1" applyBorder="1" applyAlignment="1">
      <alignment horizontal="center" vertical="center" wrapText="1"/>
    </xf>
    <xf numFmtId="0" fontId="17" fillId="0" borderId="3" xfId="0" applyFont="1" applyBorder="1" applyAlignment="1">
      <alignment horizontal="center" vertical="center"/>
    </xf>
    <xf numFmtId="0" fontId="17" fillId="0" borderId="28" xfId="0" applyFont="1" applyBorder="1" applyAlignment="1">
      <alignment horizontal="center" vertical="center"/>
    </xf>
    <xf numFmtId="0" fontId="17" fillId="0" borderId="56" xfId="0" applyFont="1" applyBorder="1" applyAlignment="1">
      <alignment horizontal="center" vertical="center"/>
    </xf>
    <xf numFmtId="0" fontId="10" fillId="0" borderId="22" xfId="12" applyFont="1" applyBorder="1" applyAlignment="1">
      <alignment horizontal="center" vertical="center"/>
    </xf>
    <xf numFmtId="0" fontId="10" fillId="0" borderId="23" xfId="12" applyFont="1" applyBorder="1" applyAlignment="1">
      <alignment horizontal="center" vertical="center"/>
    </xf>
    <xf numFmtId="0" fontId="12" fillId="0" borderId="12" xfId="12" applyFont="1" applyBorder="1" applyAlignment="1">
      <alignment horizontal="center" vertical="center" shrinkToFit="1"/>
    </xf>
    <xf numFmtId="0" fontId="12" fillId="0" borderId="20" xfId="12" applyFont="1" applyBorder="1" applyAlignment="1">
      <alignment horizontal="center" vertical="center" shrinkToFit="1"/>
    </xf>
    <xf numFmtId="0" fontId="9" fillId="0" borderId="6" xfId="12" applyFont="1" applyBorder="1" applyAlignment="1">
      <alignment horizontal="center" vertical="center" wrapText="1"/>
    </xf>
    <xf numFmtId="0" fontId="9" fillId="0" borderId="7" xfId="12" applyFont="1" applyBorder="1" applyAlignment="1">
      <alignment horizontal="center" vertical="center" wrapText="1"/>
    </xf>
    <xf numFmtId="0" fontId="9" fillId="0" borderId="8" xfId="12" applyFont="1" applyBorder="1" applyAlignment="1">
      <alignment horizontal="center" vertical="center" wrapText="1"/>
    </xf>
    <xf numFmtId="0" fontId="9" fillId="0" borderId="15" xfId="12" applyFont="1" applyBorder="1" applyAlignment="1">
      <alignment horizontal="center" vertical="center" wrapText="1"/>
    </xf>
    <xf numFmtId="0" fontId="9" fillId="0" borderId="1" xfId="12" applyFont="1" applyBorder="1" applyAlignment="1">
      <alignment horizontal="center" vertical="center" wrapText="1"/>
    </xf>
    <xf numFmtId="0" fontId="9" fillId="0" borderId="16" xfId="12" applyFont="1" applyBorder="1" applyAlignment="1">
      <alignment horizontal="center" vertical="center" wrapText="1"/>
    </xf>
    <xf numFmtId="0" fontId="9" fillId="0" borderId="51" xfId="12" applyFont="1" applyBorder="1" applyAlignment="1">
      <alignment horizontal="center" vertical="center" shrinkToFit="1"/>
    </xf>
    <xf numFmtId="0" fontId="9" fillId="0" borderId="12" xfId="12" applyFont="1" applyBorder="1" applyAlignment="1">
      <alignment horizontal="center" vertical="center"/>
    </xf>
    <xf numFmtId="0" fontId="9" fillId="0" borderId="20" xfId="12" applyFont="1" applyBorder="1" applyAlignment="1">
      <alignment horizontal="center" vertical="center"/>
    </xf>
    <xf numFmtId="0" fontId="13" fillId="3" borderId="12" xfId="12" applyFont="1" applyFill="1" applyBorder="1" applyAlignment="1">
      <alignment horizontal="center" vertical="top" wrapText="1"/>
    </xf>
    <xf numFmtId="0" fontId="12" fillId="0" borderId="13" xfId="12" applyFont="1" applyBorder="1" applyAlignment="1">
      <alignment horizontal="center" vertical="center" shrinkToFit="1"/>
    </xf>
    <xf numFmtId="0" fontId="9" fillId="0" borderId="50" xfId="12" applyFont="1" applyBorder="1" applyAlignment="1">
      <alignment horizontal="center" vertical="center" shrinkToFit="1"/>
    </xf>
    <xf numFmtId="0" fontId="13" fillId="3" borderId="20" xfId="12" applyFont="1" applyFill="1" applyBorder="1" applyAlignment="1">
      <alignment horizontal="center" vertical="top" wrapText="1"/>
    </xf>
    <xf numFmtId="56" fontId="12" fillId="3" borderId="20" xfId="12" applyNumberFormat="1" applyFont="1" applyFill="1" applyBorder="1" applyAlignment="1">
      <alignment horizontal="center" vertical="center" wrapText="1"/>
    </xf>
    <xf numFmtId="0" fontId="12" fillId="3" borderId="20" xfId="12" applyFont="1" applyFill="1" applyBorder="1" applyAlignment="1">
      <alignment horizontal="center" vertical="center" wrapText="1"/>
    </xf>
    <xf numFmtId="0" fontId="12" fillId="0" borderId="20" xfId="12" applyFont="1" applyBorder="1" applyAlignment="1">
      <alignment horizontal="center" vertical="center" wrapText="1"/>
    </xf>
    <xf numFmtId="0" fontId="12" fillId="0" borderId="21" xfId="12" applyFont="1" applyBorder="1" applyAlignment="1">
      <alignment horizontal="center" vertical="center" wrapText="1"/>
    </xf>
    <xf numFmtId="49" fontId="12" fillId="0" borderId="12" xfId="12" applyNumberFormat="1" applyFont="1" applyBorder="1" applyAlignment="1">
      <alignment horizontal="center" vertical="center" shrinkToFit="1"/>
    </xf>
    <xf numFmtId="49" fontId="12" fillId="0" borderId="13" xfId="12" applyNumberFormat="1" applyFont="1" applyBorder="1" applyAlignment="1">
      <alignment horizontal="center" vertical="center" shrinkToFit="1"/>
    </xf>
    <xf numFmtId="0" fontId="12" fillId="0" borderId="9" xfId="12" applyFont="1" applyBorder="1" applyAlignment="1">
      <alignment horizontal="center" vertical="center" shrinkToFit="1"/>
    </xf>
    <xf numFmtId="0" fontId="12" fillId="0" borderId="10" xfId="12" applyFont="1" applyBorder="1" applyAlignment="1">
      <alignment horizontal="center" vertical="center" shrinkToFit="1"/>
    </xf>
    <xf numFmtId="0" fontId="12" fillId="0" borderId="11" xfId="12" applyFont="1" applyBorder="1" applyAlignment="1">
      <alignment horizontal="center" vertical="center" shrinkToFit="1"/>
    </xf>
    <xf numFmtId="0" fontId="9" fillId="0" borderId="49" xfId="12" applyFont="1" applyBorder="1" applyAlignment="1">
      <alignment horizontal="center" vertical="center" shrinkToFit="1"/>
    </xf>
    <xf numFmtId="178" fontId="9" fillId="0" borderId="50" xfId="12" applyNumberFormat="1" applyFont="1" applyBorder="1" applyAlignment="1">
      <alignment horizontal="center" vertical="center" shrinkToFit="1"/>
    </xf>
    <xf numFmtId="0" fontId="9" fillId="0" borderId="48" xfId="12" applyFont="1" applyBorder="1" applyAlignment="1">
      <alignment horizontal="center" vertical="center" shrinkToFit="1"/>
    </xf>
    <xf numFmtId="178" fontId="9" fillId="0" borderId="49" xfId="12" applyNumberFormat="1" applyFont="1" applyBorder="1" applyAlignment="1">
      <alignment horizontal="center" vertical="center" shrinkToFit="1"/>
    </xf>
    <xf numFmtId="0" fontId="12" fillId="2" borderId="12" xfId="12" applyFont="1" applyFill="1" applyBorder="1" applyAlignment="1">
      <alignment horizontal="center" vertical="center"/>
    </xf>
    <xf numFmtId="0" fontId="12" fillId="2" borderId="13" xfId="12" applyFont="1" applyFill="1" applyBorder="1" applyAlignment="1">
      <alignment horizontal="center" vertical="center"/>
    </xf>
    <xf numFmtId="0" fontId="12" fillId="2" borderId="17" xfId="12" applyFont="1" applyFill="1" applyBorder="1" applyAlignment="1">
      <alignment horizontal="center" vertical="center"/>
    </xf>
    <xf numFmtId="0" fontId="12" fillId="2" borderId="18" xfId="12" applyFont="1" applyFill="1" applyBorder="1" applyAlignment="1">
      <alignment horizontal="center" vertical="center"/>
    </xf>
    <xf numFmtId="0" fontId="12" fillId="2" borderId="19" xfId="12" applyFont="1" applyFill="1" applyBorder="1" applyAlignment="1">
      <alignment horizontal="center" vertical="center"/>
    </xf>
    <xf numFmtId="0" fontId="12" fillId="2" borderId="20" xfId="12" applyFont="1" applyFill="1" applyBorder="1" applyAlignment="1">
      <alignment horizontal="center" vertical="center"/>
    </xf>
    <xf numFmtId="0" fontId="12" fillId="2" borderId="21" xfId="12" applyFont="1" applyFill="1" applyBorder="1" applyAlignment="1">
      <alignment horizontal="center" vertical="center"/>
    </xf>
    <xf numFmtId="0" fontId="12" fillId="2" borderId="5" xfId="12" applyFont="1" applyFill="1" applyBorder="1" applyAlignment="1">
      <alignment horizontal="center" vertical="center"/>
    </xf>
    <xf numFmtId="0" fontId="12" fillId="2" borderId="14" xfId="12" applyFont="1" applyFill="1" applyBorder="1" applyAlignment="1">
      <alignment horizontal="center" vertical="center"/>
    </xf>
    <xf numFmtId="0" fontId="12" fillId="2" borderId="6" xfId="12" applyFont="1" applyFill="1" applyBorder="1" applyAlignment="1">
      <alignment horizontal="center" vertical="center"/>
    </xf>
    <xf numFmtId="0" fontId="12" fillId="2" borderId="7" xfId="12" applyFont="1" applyFill="1" applyBorder="1" applyAlignment="1">
      <alignment horizontal="center" vertical="center"/>
    </xf>
    <xf numFmtId="0" fontId="12" fillId="2" borderId="8" xfId="12" applyFont="1" applyFill="1" applyBorder="1" applyAlignment="1">
      <alignment horizontal="center" vertical="center"/>
    </xf>
    <xf numFmtId="0" fontId="12" fillId="2" borderId="15" xfId="12" applyFont="1" applyFill="1" applyBorder="1" applyAlignment="1">
      <alignment horizontal="center" vertical="center"/>
    </xf>
    <xf numFmtId="0" fontId="12" fillId="2" borderId="1" xfId="12" applyFont="1" applyFill="1" applyBorder="1" applyAlignment="1">
      <alignment horizontal="center" vertical="center"/>
    </xf>
    <xf numFmtId="0" fontId="12" fillId="2" borderId="16" xfId="12" applyFont="1" applyFill="1" applyBorder="1" applyAlignment="1">
      <alignment horizontal="center" vertical="center"/>
    </xf>
    <xf numFmtId="0" fontId="12" fillId="2" borderId="9" xfId="12" applyFont="1" applyFill="1" applyBorder="1" applyAlignment="1">
      <alignment horizontal="center" vertical="center"/>
    </xf>
    <xf numFmtId="0" fontId="12" fillId="2" borderId="10" xfId="12" applyFont="1" applyFill="1" applyBorder="1" applyAlignment="1">
      <alignment horizontal="center" vertical="center"/>
    </xf>
    <xf numFmtId="0" fontId="12" fillId="2" borderId="11" xfId="12" applyFont="1" applyFill="1" applyBorder="1" applyAlignment="1">
      <alignment horizontal="center" vertical="center"/>
    </xf>
    <xf numFmtId="0" fontId="9" fillId="0" borderId="0" xfId="12" applyFont="1" applyAlignment="1">
      <alignment horizontal="left" vertical="center"/>
    </xf>
    <xf numFmtId="0" fontId="4" fillId="0" borderId="0" xfId="12" applyFont="1" applyAlignment="1">
      <alignment horizontal="center" vertical="center"/>
    </xf>
    <xf numFmtId="0" fontId="4" fillId="0" borderId="30" xfId="12" applyFont="1" applyBorder="1" applyAlignment="1">
      <alignment horizontal="center" vertical="center"/>
    </xf>
    <xf numFmtId="0" fontId="9" fillId="0" borderId="30" xfId="12" applyFont="1" applyBorder="1" applyAlignment="1">
      <alignment horizontal="left" vertical="center"/>
    </xf>
    <xf numFmtId="0" fontId="7" fillId="0" borderId="27" xfId="12" applyFont="1" applyBorder="1" applyAlignment="1">
      <alignment horizontal="center" vertical="center"/>
    </xf>
    <xf numFmtId="0" fontId="7" fillId="0" borderId="7" xfId="12" applyFont="1" applyBorder="1" applyAlignment="1">
      <alignment horizontal="center" vertical="center"/>
    </xf>
    <xf numFmtId="0" fontId="7" fillId="0" borderId="28" xfId="12" applyFont="1" applyBorder="1" applyAlignment="1">
      <alignment horizontal="center" vertical="center"/>
    </xf>
    <xf numFmtId="31" fontId="9" fillId="0" borderId="0" xfId="12" applyNumberFormat="1" applyFont="1" applyAlignment="1">
      <alignment horizontal="right" vertical="center"/>
    </xf>
    <xf numFmtId="31" fontId="4" fillId="0" borderId="0" xfId="12" applyNumberFormat="1" applyFont="1" applyAlignment="1">
      <alignment horizontal="right" vertical="center"/>
    </xf>
    <xf numFmtId="31" fontId="4" fillId="0" borderId="30" xfId="12" applyNumberFormat="1" applyFont="1" applyBorder="1" applyAlignment="1">
      <alignment horizontal="right" vertical="center"/>
    </xf>
    <xf numFmtId="0" fontId="6" fillId="0" borderId="29" xfId="12" applyFont="1" applyBorder="1" applyAlignment="1">
      <alignment horizontal="center" vertical="center" shrinkToFit="1"/>
    </xf>
    <xf numFmtId="0" fontId="6" fillId="0" borderId="0" xfId="12" applyFont="1" applyAlignment="1">
      <alignment horizontal="center" vertical="center" shrinkToFit="1"/>
    </xf>
    <xf numFmtId="0" fontId="6" fillId="0" borderId="0" xfId="12" applyFont="1" applyAlignment="1">
      <alignment horizontal="left" vertical="center"/>
    </xf>
    <xf numFmtId="0" fontId="9" fillId="0" borderId="0" xfId="12" applyFont="1" applyAlignment="1">
      <alignment horizontal="center" vertical="center" shrinkToFit="1"/>
    </xf>
    <xf numFmtId="0" fontId="10" fillId="0" borderId="0" xfId="12" applyFont="1" applyAlignment="1">
      <alignment horizontal="center" vertical="center"/>
    </xf>
    <xf numFmtId="0" fontId="9" fillId="0" borderId="12" xfId="12" applyFont="1" applyBorder="1" applyAlignment="1">
      <alignment horizontal="center" vertical="center" shrinkToFit="1"/>
    </xf>
    <xf numFmtId="0" fontId="9" fillId="0" borderId="20" xfId="12" applyFont="1" applyBorder="1" applyAlignment="1">
      <alignment horizontal="center" vertical="center" shrinkToFit="1"/>
    </xf>
    <xf numFmtId="0" fontId="4" fillId="0" borderId="6" xfId="12" applyFont="1" applyBorder="1" applyAlignment="1">
      <alignment horizontal="center" vertical="center" wrapText="1"/>
    </xf>
    <xf numFmtId="0" fontId="4" fillId="0" borderId="7" xfId="12" applyFont="1" applyBorder="1" applyAlignment="1">
      <alignment horizontal="center" vertical="center" wrapText="1"/>
    </xf>
    <xf numFmtId="0" fontId="4" fillId="0" borderId="8" xfId="12" applyFont="1" applyBorder="1" applyAlignment="1">
      <alignment horizontal="center" vertical="center" wrapText="1"/>
    </xf>
    <xf numFmtId="0" fontId="4" fillId="0" borderId="15" xfId="12" applyFont="1" applyBorder="1" applyAlignment="1">
      <alignment horizontal="center" vertical="center" wrapText="1"/>
    </xf>
    <xf numFmtId="0" fontId="4" fillId="0" borderId="1" xfId="12" applyFont="1" applyBorder="1" applyAlignment="1">
      <alignment horizontal="center" vertical="center" wrapText="1"/>
    </xf>
    <xf numFmtId="0" fontId="4" fillId="0" borderId="16" xfId="12" applyFont="1" applyBorder="1" applyAlignment="1">
      <alignment horizontal="center" vertical="center" wrapText="1"/>
    </xf>
    <xf numFmtId="38" fontId="9" fillId="4" borderId="12" xfId="13" applyFont="1" applyFill="1" applyBorder="1" applyAlignment="1">
      <alignment horizontal="right" vertical="center" wrapText="1"/>
    </xf>
    <xf numFmtId="0" fontId="9" fillId="0" borderId="13" xfId="12" applyFont="1" applyBorder="1" applyAlignment="1">
      <alignment horizontal="center" vertical="center" shrinkToFit="1"/>
    </xf>
    <xf numFmtId="38" fontId="9" fillId="0" borderId="20" xfId="13" applyFont="1" applyFill="1" applyBorder="1" applyAlignment="1">
      <alignment horizontal="right" vertical="center" wrapText="1"/>
    </xf>
    <xf numFmtId="176" fontId="9" fillId="4" borderId="20" xfId="12" applyNumberFormat="1" applyFont="1" applyFill="1" applyBorder="1" applyAlignment="1">
      <alignment horizontal="center" vertical="center" wrapText="1"/>
    </xf>
    <xf numFmtId="0" fontId="9" fillId="4" borderId="20" xfId="12" applyFont="1" applyFill="1" applyBorder="1" applyAlignment="1">
      <alignment horizontal="center" vertical="center"/>
    </xf>
    <xf numFmtId="0" fontId="9" fillId="4" borderId="21" xfId="12" applyFont="1" applyFill="1" applyBorder="1" applyAlignment="1">
      <alignment horizontal="center" vertical="center"/>
    </xf>
    <xf numFmtId="0" fontId="4" fillId="0" borderId="2" xfId="12" applyFont="1" applyBorder="1" applyAlignment="1">
      <alignment horizontal="center" vertical="center"/>
    </xf>
    <xf numFmtId="0" fontId="4" fillId="0" borderId="4" xfId="12" applyFont="1" applyBorder="1" applyAlignment="1">
      <alignment horizontal="center" vertical="center"/>
    </xf>
    <xf numFmtId="0" fontId="4" fillId="0" borderId="25" xfId="12" applyFont="1" applyBorder="1" applyAlignment="1">
      <alignment horizontal="center" vertical="center"/>
    </xf>
    <xf numFmtId="38" fontId="4" fillId="0" borderId="24" xfId="13" applyFont="1" applyFill="1" applyBorder="1" applyAlignment="1">
      <alignment horizontal="right" vertical="center" wrapText="1"/>
    </xf>
    <xf numFmtId="0" fontId="13" fillId="0" borderId="26" xfId="12" applyFont="1" applyBorder="1" applyAlignment="1">
      <alignment horizontal="center" vertical="top" wrapText="1"/>
    </xf>
    <xf numFmtId="0" fontId="13" fillId="0" borderId="4" xfId="12" applyFont="1" applyBorder="1" applyAlignment="1">
      <alignment horizontal="center" vertical="top" wrapText="1"/>
    </xf>
    <xf numFmtId="0" fontId="13" fillId="0" borderId="3" xfId="12" applyFont="1" applyBorder="1" applyAlignment="1">
      <alignment horizontal="center" vertical="top" wrapText="1"/>
    </xf>
    <xf numFmtId="0" fontId="16" fillId="0" borderId="0" xfId="12" applyFont="1" applyAlignment="1">
      <alignment horizontal="center" vertical="center"/>
    </xf>
    <xf numFmtId="0" fontId="12" fillId="5" borderId="6" xfId="12" applyFont="1" applyFill="1" applyBorder="1" applyAlignment="1">
      <alignment horizontal="center" vertical="center"/>
    </xf>
    <xf numFmtId="0" fontId="12" fillId="5" borderId="7" xfId="12" applyFont="1" applyFill="1" applyBorder="1" applyAlignment="1">
      <alignment horizontal="center" vertical="center"/>
    </xf>
    <xf numFmtId="0" fontId="12" fillId="5" borderId="8" xfId="12" applyFont="1" applyFill="1" applyBorder="1" applyAlignment="1">
      <alignment horizontal="center" vertical="center"/>
    </xf>
    <xf numFmtId="0" fontId="12" fillId="5" borderId="15" xfId="12" applyFont="1" applyFill="1" applyBorder="1" applyAlignment="1">
      <alignment horizontal="center" vertical="center"/>
    </xf>
    <xf numFmtId="0" fontId="12" fillId="5" borderId="1" xfId="12" applyFont="1" applyFill="1" applyBorder="1" applyAlignment="1">
      <alignment horizontal="center" vertical="center"/>
    </xf>
    <xf numFmtId="0" fontId="12" fillId="5" borderId="16" xfId="12" applyFont="1" applyFill="1" applyBorder="1" applyAlignment="1">
      <alignment horizontal="center" vertical="center"/>
    </xf>
    <xf numFmtId="178" fontId="9" fillId="0" borderId="20" xfId="12" applyNumberFormat="1" applyFont="1" applyBorder="1" applyAlignment="1">
      <alignment horizontal="center" vertical="center" shrinkToFit="1"/>
    </xf>
    <xf numFmtId="0" fontId="10" fillId="4" borderId="20" xfId="12" applyFont="1" applyFill="1" applyBorder="1" applyAlignment="1">
      <alignment horizontal="center" vertical="center"/>
    </xf>
    <xf numFmtId="0" fontId="10" fillId="4" borderId="21" xfId="12" applyFont="1" applyFill="1" applyBorder="1" applyAlignment="1">
      <alignment horizontal="center" vertical="center"/>
    </xf>
    <xf numFmtId="31" fontId="9" fillId="4" borderId="0" xfId="12" applyNumberFormat="1" applyFont="1" applyFill="1" applyAlignment="1">
      <alignment horizontal="center" vertical="center"/>
    </xf>
    <xf numFmtId="31" fontId="9" fillId="4" borderId="30" xfId="12" applyNumberFormat="1" applyFont="1" applyFill="1" applyBorder="1" applyAlignment="1">
      <alignment horizontal="center" vertical="center"/>
    </xf>
    <xf numFmtId="0" fontId="10" fillId="0" borderId="29" xfId="12" applyFont="1" applyBorder="1" applyAlignment="1">
      <alignment horizontal="center" vertical="center"/>
    </xf>
    <xf numFmtId="0" fontId="10" fillId="0" borderId="0" xfId="12" applyFont="1" applyAlignment="1">
      <alignment horizontal="left" vertical="center"/>
    </xf>
    <xf numFmtId="0" fontId="12" fillId="5" borderId="5" xfId="12" applyFont="1" applyFill="1" applyBorder="1" applyAlignment="1">
      <alignment horizontal="center" vertical="center"/>
    </xf>
    <xf numFmtId="0" fontId="12" fillId="5" borderId="14" xfId="12" applyFont="1" applyFill="1" applyBorder="1" applyAlignment="1">
      <alignment horizontal="center" vertical="center"/>
    </xf>
    <xf numFmtId="0" fontId="12" fillId="5" borderId="9" xfId="12" applyFont="1" applyFill="1" applyBorder="1" applyAlignment="1">
      <alignment horizontal="center" vertical="center"/>
    </xf>
    <xf numFmtId="0" fontId="12" fillId="5" borderId="10" xfId="12" applyFont="1" applyFill="1" applyBorder="1" applyAlignment="1">
      <alignment horizontal="center" vertical="center"/>
    </xf>
    <xf numFmtId="0" fontId="12" fillId="5" borderId="11" xfId="12" applyFont="1" applyFill="1" applyBorder="1" applyAlignment="1">
      <alignment horizontal="center" vertical="center"/>
    </xf>
    <xf numFmtId="0" fontId="10" fillId="0" borderId="30" xfId="12" applyFont="1" applyBorder="1" applyAlignment="1">
      <alignment horizontal="center" vertical="center"/>
    </xf>
    <xf numFmtId="0" fontId="10" fillId="4" borderId="0" xfId="12" applyFont="1" applyFill="1" applyAlignment="1">
      <alignment horizontal="center" vertical="center"/>
    </xf>
    <xf numFmtId="0" fontId="10" fillId="4" borderId="30" xfId="12" applyFont="1" applyFill="1" applyBorder="1" applyAlignment="1">
      <alignment horizontal="center" vertical="center"/>
    </xf>
    <xf numFmtId="0" fontId="12" fillId="5" borderId="12" xfId="12" applyFont="1" applyFill="1" applyBorder="1" applyAlignment="1">
      <alignment horizontal="center" vertical="center"/>
    </xf>
    <xf numFmtId="0" fontId="12" fillId="5" borderId="13" xfId="12" applyFont="1" applyFill="1" applyBorder="1" applyAlignment="1">
      <alignment horizontal="center" vertical="center"/>
    </xf>
    <xf numFmtId="0" fontId="12" fillId="5" borderId="17" xfId="12" applyFont="1" applyFill="1" applyBorder="1" applyAlignment="1">
      <alignment horizontal="center" vertical="center"/>
    </xf>
    <xf numFmtId="0" fontId="12" fillId="5" borderId="18" xfId="12" applyFont="1" applyFill="1" applyBorder="1" applyAlignment="1">
      <alignment horizontal="center" vertical="center"/>
    </xf>
    <xf numFmtId="0" fontId="12" fillId="5" borderId="19" xfId="12" applyFont="1" applyFill="1" applyBorder="1" applyAlignment="1">
      <alignment horizontal="center" vertical="center"/>
    </xf>
    <xf numFmtId="0" fontId="12" fillId="5" borderId="20" xfId="12" applyFont="1" applyFill="1" applyBorder="1" applyAlignment="1">
      <alignment horizontal="center" vertical="center"/>
    </xf>
    <xf numFmtId="0" fontId="12" fillId="5" borderId="21" xfId="12" applyFont="1" applyFill="1" applyBorder="1" applyAlignment="1">
      <alignment horizontal="center" vertical="center"/>
    </xf>
  </cellXfs>
  <cellStyles count="14">
    <cellStyle name="桁区切り 2 2" xfId="1" xr:uid="{00000000-0005-0000-0000-000000000000}"/>
    <cellStyle name="桁区切り 2 2 2" xfId="5" xr:uid="{00000000-0005-0000-0000-000001000000}"/>
    <cellStyle name="桁区切り 2 2 3" xfId="9" xr:uid="{00000000-0005-0000-0000-000002000000}"/>
    <cellStyle name="桁区切り 3 2" xfId="13" xr:uid="{C0278379-56D4-4315-A785-1C9C67B4AD77}"/>
    <cellStyle name="標準" xfId="0" builtinId="0"/>
    <cellStyle name="標準 2" xfId="2" xr:uid="{00000000-0005-0000-0000-000003000000}"/>
    <cellStyle name="標準 2 2" xfId="3" xr:uid="{00000000-0005-0000-0000-000004000000}"/>
    <cellStyle name="標準 2 2 2" xfId="6" xr:uid="{00000000-0005-0000-0000-000005000000}"/>
    <cellStyle name="標準 2 2 2 2" xfId="10" xr:uid="{00000000-0005-0000-0000-000006000000}"/>
    <cellStyle name="標準 2 3" xfId="4" xr:uid="{00000000-0005-0000-0000-000006000000}"/>
    <cellStyle name="標準 2 4" xfId="8" xr:uid="{00000000-0005-0000-0000-000004000000}"/>
    <cellStyle name="標準 3" xfId="7" xr:uid="{00000000-0005-0000-0000-000007000000}"/>
    <cellStyle name="標準 3 2" xfId="11" xr:uid="{00000000-0005-0000-0000-000007000000}"/>
    <cellStyle name="標準 4 2" xfId="12" xr:uid="{83811D50-3DAA-4712-995C-19091CD720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17</xdr:col>
      <xdr:colOff>234950</xdr:colOff>
      <xdr:row>4</xdr:row>
      <xdr:rowOff>201931</xdr:rowOff>
    </xdr:from>
    <xdr:to>
      <xdr:col>19</xdr:col>
      <xdr:colOff>174625</xdr:colOff>
      <xdr:row>6</xdr:row>
      <xdr:rowOff>134682</xdr:rowOff>
    </xdr:to>
    <xdr:pic>
      <xdr:nvPicPr>
        <xdr:cNvPr id="10" name="図 9">
          <a:extLst>
            <a:ext uri="{FF2B5EF4-FFF2-40B4-BE49-F238E27FC236}">
              <a16:creationId xmlns:a16="http://schemas.microsoft.com/office/drawing/2014/main" id="{142A31AF-616A-4FEE-9F6E-CC116E552A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39310" y="1573531"/>
          <a:ext cx="463550" cy="481391"/>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C:/Users/konnos/Desktop/__&#12304;&#20181;&#20107;_CGT&#12305;_150525/___150525_&#12304;&#23455;&#29992;&#21270;&#25361;&#25126;&#12305;H26&#24180;&#24230;&#31532;1&#22238;A-STEP/___150413_&#12304;H26&#24180;&#24230;_&#32076;&#29702;_&#35211;&#31309;&#12539;&#30330;&#27880;&#12539;&#32013;&#21697;&#12539;&#35531;&#27714;&#12305;/___150406_&#12304;&#28040;&#32791;&#21697;&#12305;/__JST&#12304;&#37325;&#35201;&#12305;H26&#24180;&#24230;&#20104;&#31639;&#22519;&#34892;&#29366;&#27841;(&#26368;&#32066;&#26696;)(&#21407;&#26412;&#12304;&#28040;&#32791;&#21697;&#30330;&#27880;&#12522;&#12473;&#12488;&#12305;_150313_&#36861;&#21152;&#20837;&#21147;150406&#25913;&#65289;.xlsx?C067BF91" TargetMode="External"/><Relationship Id="rId1" Type="http://schemas.openxmlformats.org/officeDocument/2006/relationships/externalLinkPath" Target="file:///\\C067BF91\__JST&#12304;&#37325;&#35201;&#12305;H26&#24180;&#24230;&#20104;&#31639;&#22519;&#34892;&#29366;&#27841;(&#26368;&#32066;&#26696;)(&#21407;&#26412;&#12304;&#28040;&#32791;&#21697;&#30330;&#27880;&#12522;&#12473;&#12488;&#12305;_150313_&#36861;&#21152;&#20837;&#21147;150406&#25913;&#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26年度　経費等の執行予定額とその内訳_原本0314"/>
      <sheetName val="I-1.物品費(設備備品費)_原本0314"/>
      <sheetName val="I-2.物品費(消耗品費)　発注予定__原本0314"/>
      <sheetName val="消耗品リスト  _150313"/>
      <sheetName val="H26年度　経費等の執行予定額とその内訳_４月6日改"/>
      <sheetName val="消耗品リスト _150313_追加入力0406改"/>
      <sheetName val="Sheet2"/>
      <sheetName val="Sheet1"/>
      <sheetName val="高長　150313現在の見積"/>
      <sheetName val="消耗品リスト _150313_追加入力0320"/>
    </sheetNames>
    <sheetDataSet>
      <sheetData sheetId="0"/>
      <sheetData sheetId="1"/>
      <sheetData sheetId="2"/>
      <sheetData sheetId="3"/>
      <sheetData sheetId="4"/>
      <sheetData sheetId="5"/>
      <sheetData sheetId="6">
        <row r="3">
          <cell r="B3" t="str">
            <v>試薬</v>
          </cell>
        </row>
        <row r="4">
          <cell r="B4" t="str">
            <v>資材</v>
          </cell>
        </row>
        <row r="5">
          <cell r="B5" t="str">
            <v>その他</v>
          </cell>
        </row>
      </sheetData>
      <sheetData sheetId="7"/>
      <sheetData sheetId="8"/>
      <sheetData sheetId="9"/>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A241-1162-4F75-A0DE-E9FCC11DC0FF}">
  <dimension ref="A1:J11"/>
  <sheetViews>
    <sheetView workbookViewId="0">
      <selection activeCell="J4" sqref="J4"/>
    </sheetView>
  </sheetViews>
  <sheetFormatPr defaultRowHeight="13.2"/>
  <cols>
    <col min="1" max="1" width="16.33203125" bestFit="1" customWidth="1"/>
    <col min="2" max="4" width="13.109375" customWidth="1"/>
    <col min="5" max="6" width="37.44140625" customWidth="1"/>
    <col min="7" max="7" width="29.44140625" bestFit="1" customWidth="1"/>
    <col min="8" max="8" width="15.77734375" customWidth="1"/>
    <col min="9" max="9" width="9.33203125" bestFit="1" customWidth="1"/>
    <col min="10" max="10" width="11.33203125" bestFit="1" customWidth="1"/>
  </cols>
  <sheetData>
    <row r="1" spans="1:10" ht="40.200000000000003" thickBot="1">
      <c r="A1" s="26" t="s">
        <v>31</v>
      </c>
      <c r="B1" s="14" t="s">
        <v>32</v>
      </c>
      <c r="C1" s="41"/>
      <c r="D1" s="15" t="s">
        <v>33</v>
      </c>
      <c r="E1" s="16" t="s">
        <v>34</v>
      </c>
      <c r="F1" s="17" t="s">
        <v>35</v>
      </c>
      <c r="G1" s="18" t="s">
        <v>36</v>
      </c>
      <c r="H1" s="19" t="s">
        <v>37</v>
      </c>
      <c r="I1" s="16" t="s">
        <v>38</v>
      </c>
      <c r="J1" s="29" t="s">
        <v>39</v>
      </c>
    </row>
    <row r="2" spans="1:10" ht="13.8" thickTop="1">
      <c r="A2" s="27"/>
      <c r="B2" s="20"/>
      <c r="C2" s="42"/>
      <c r="D2" s="10"/>
      <c r="E2" s="11"/>
      <c r="F2" s="12"/>
      <c r="G2" s="13"/>
      <c r="H2" s="32"/>
      <c r="I2" s="13"/>
      <c r="J2" s="30">
        <v>0</v>
      </c>
    </row>
    <row r="3" spans="1:10">
      <c r="A3" s="27"/>
      <c r="B3" s="20"/>
      <c r="C3" s="42"/>
      <c r="D3" s="10"/>
      <c r="E3" s="11"/>
      <c r="F3" s="12"/>
      <c r="G3" s="13"/>
      <c r="H3" s="32"/>
      <c r="I3" s="13"/>
      <c r="J3" s="30">
        <v>0</v>
      </c>
    </row>
    <row r="4" spans="1:10">
      <c r="A4" s="27"/>
      <c r="B4" s="20"/>
      <c r="C4" s="42"/>
      <c r="D4" s="10"/>
      <c r="E4" s="11"/>
      <c r="F4" s="12"/>
      <c r="G4" s="13"/>
      <c r="H4" s="32"/>
      <c r="I4" s="13"/>
      <c r="J4" s="30">
        <v>0</v>
      </c>
    </row>
    <row r="5" spans="1:10">
      <c r="A5" s="27"/>
      <c r="B5" s="20"/>
      <c r="C5" s="42"/>
      <c r="D5" s="10"/>
      <c r="E5" s="11"/>
      <c r="F5" s="12"/>
      <c r="G5" s="13"/>
      <c r="H5" s="32"/>
      <c r="I5" s="13"/>
      <c r="J5" s="30">
        <v>0</v>
      </c>
    </row>
    <row r="6" spans="1:10">
      <c r="A6" s="34"/>
      <c r="B6" s="35"/>
      <c r="C6" s="43"/>
      <c r="D6" s="36"/>
      <c r="E6" s="37"/>
      <c r="F6" s="38"/>
      <c r="G6" s="39"/>
      <c r="H6" s="40"/>
      <c r="I6" s="39"/>
      <c r="J6" s="30">
        <v>0</v>
      </c>
    </row>
    <row r="7" spans="1:10" ht="13.8" thickBot="1">
      <c r="A7" s="28"/>
      <c r="B7" s="21"/>
      <c r="C7" s="44"/>
      <c r="D7" s="22"/>
      <c r="E7" s="23"/>
      <c r="F7" s="24"/>
      <c r="G7" s="25"/>
      <c r="H7" s="33"/>
      <c r="I7" s="25"/>
      <c r="J7" s="31">
        <v>0</v>
      </c>
    </row>
    <row r="8" spans="1:10" ht="13.8" thickBot="1">
      <c r="A8" s="28"/>
      <c r="B8" s="21"/>
      <c r="C8" s="44"/>
      <c r="D8" s="22"/>
      <c r="E8" s="23"/>
      <c r="F8" s="24"/>
      <c r="G8" s="25"/>
      <c r="H8" s="33"/>
      <c r="I8" s="25"/>
      <c r="J8" s="31">
        <v>0</v>
      </c>
    </row>
    <row r="9" spans="1:10" ht="13.8" thickBot="1">
      <c r="A9" s="28"/>
      <c r="B9" s="21"/>
      <c r="C9" s="44"/>
      <c r="D9" s="22"/>
      <c r="E9" s="23"/>
      <c r="F9" s="24"/>
      <c r="G9" s="25"/>
      <c r="H9" s="33"/>
      <c r="I9" s="25"/>
      <c r="J9" s="31">
        <v>0</v>
      </c>
    </row>
    <row r="10" spans="1:10" ht="13.8" thickBot="1">
      <c r="A10" s="28"/>
      <c r="B10" s="21"/>
      <c r="C10" s="44"/>
      <c r="D10" s="22"/>
      <c r="E10" s="23"/>
      <c r="F10" s="24"/>
      <c r="G10" s="25"/>
      <c r="H10" s="33"/>
      <c r="I10" s="25"/>
      <c r="J10" s="31">
        <v>0</v>
      </c>
    </row>
    <row r="11" spans="1:10" ht="13.8" thickBot="1">
      <c r="A11" s="28"/>
      <c r="B11" s="21"/>
      <c r="C11" s="44"/>
      <c r="D11" s="22"/>
      <c r="E11" s="23"/>
      <c r="F11" s="24"/>
      <c r="G11" s="25"/>
      <c r="H11" s="33"/>
      <c r="I11" s="25"/>
      <c r="J11" s="31">
        <v>0</v>
      </c>
    </row>
  </sheetData>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9C539-DF92-4DE4-937D-107DCB51AEE5}">
  <sheetPr>
    <pageSetUpPr fitToPage="1"/>
  </sheetPr>
  <dimension ref="A1:AE36"/>
  <sheetViews>
    <sheetView showGridLines="0" showZeros="0" zoomScale="85" zoomScaleNormal="85" workbookViewId="0">
      <selection activeCell="V18" sqref="V18:AA18"/>
    </sheetView>
  </sheetViews>
  <sheetFormatPr defaultRowHeight="13.2"/>
  <cols>
    <col min="1" max="31" width="3.77734375" customWidth="1"/>
  </cols>
  <sheetData>
    <row r="1" spans="1:31" ht="28.95" customHeight="1">
      <c r="A1" s="97" t="s">
        <v>0</v>
      </c>
      <c r="B1" s="98"/>
      <c r="C1" s="98"/>
      <c r="D1" s="98"/>
      <c r="E1" s="98"/>
      <c r="F1" s="98"/>
      <c r="G1" s="98"/>
      <c r="H1" s="98"/>
      <c r="I1" s="98"/>
      <c r="J1" s="98"/>
      <c r="K1" s="98"/>
      <c r="L1" s="98"/>
      <c r="M1" s="98"/>
      <c r="N1" s="98"/>
      <c r="O1" s="98"/>
      <c r="P1" s="98"/>
      <c r="Q1" s="98"/>
      <c r="R1" s="98"/>
      <c r="S1" s="98"/>
      <c r="T1" s="98"/>
      <c r="U1" s="98"/>
      <c r="V1" s="98"/>
      <c r="W1" s="98"/>
      <c r="X1" s="98"/>
      <c r="Y1" s="98"/>
      <c r="Z1" s="98"/>
      <c r="AA1" s="98"/>
      <c r="AB1" s="98"/>
      <c r="AC1" s="98"/>
      <c r="AD1" s="98"/>
      <c r="AE1" s="99"/>
    </row>
    <row r="2" spans="1:31" ht="28.95" customHeight="1">
      <c r="A2" s="3"/>
      <c r="B2" s="4"/>
      <c r="C2" s="4"/>
      <c r="D2" s="4"/>
      <c r="E2" s="4"/>
      <c r="F2" s="4"/>
      <c r="G2" s="4"/>
      <c r="H2" s="4"/>
      <c r="I2" s="4"/>
      <c r="J2" s="4"/>
      <c r="K2" s="4"/>
      <c r="L2" s="4"/>
      <c r="M2" s="4"/>
      <c r="N2" s="4"/>
      <c r="O2" s="4"/>
      <c r="P2" s="4"/>
      <c r="Q2" s="4"/>
      <c r="R2" s="4"/>
      <c r="S2" s="4"/>
      <c r="T2" s="4"/>
      <c r="U2" s="4"/>
      <c r="V2" s="100"/>
      <c r="W2" s="100"/>
      <c r="X2" s="100"/>
      <c r="Y2" s="100"/>
      <c r="Z2" s="101">
        <f ca="1">TODAY()</f>
        <v>46042</v>
      </c>
      <c r="AA2" s="101"/>
      <c r="AB2" s="101"/>
      <c r="AC2" s="101"/>
      <c r="AD2" s="101"/>
      <c r="AE2" s="102"/>
    </row>
    <row r="3" spans="1:31" ht="28.95" customHeight="1">
      <c r="A3" s="103" t="s">
        <v>42</v>
      </c>
      <c r="B3" s="104"/>
      <c r="C3" s="104"/>
      <c r="D3" s="104"/>
      <c r="E3" s="104"/>
      <c r="F3" s="104"/>
      <c r="G3" s="104"/>
      <c r="H3" s="104"/>
      <c r="I3" s="104"/>
      <c r="J3" s="104"/>
      <c r="K3" s="104"/>
      <c r="L3" s="105" t="s">
        <v>1</v>
      </c>
      <c r="M3" s="105"/>
      <c r="N3" s="105"/>
      <c r="O3" s="1"/>
      <c r="P3" s="1"/>
      <c r="Q3" s="1"/>
      <c r="R3" s="1"/>
      <c r="S3" s="1"/>
      <c r="T3" s="1"/>
      <c r="U3" s="1"/>
      <c r="V3" s="1"/>
      <c r="W3" s="1"/>
      <c r="X3" s="1"/>
      <c r="Y3" s="1"/>
      <c r="Z3" s="1"/>
      <c r="AA3" s="1"/>
      <c r="AB3" s="1"/>
      <c r="AC3" s="1"/>
      <c r="AD3" s="1"/>
      <c r="AE3" s="5"/>
    </row>
    <row r="4" spans="1:31" ht="21.6" customHeight="1">
      <c r="A4" s="6"/>
      <c r="B4" s="1"/>
      <c r="C4" s="1"/>
      <c r="D4" s="1"/>
      <c r="E4" s="1"/>
      <c r="F4" s="1"/>
      <c r="G4" s="1"/>
      <c r="H4" s="1"/>
      <c r="I4" s="1"/>
      <c r="J4" s="1"/>
      <c r="K4" s="1"/>
      <c r="L4" s="1"/>
      <c r="M4" s="1"/>
      <c r="N4" s="1"/>
      <c r="O4" s="1"/>
      <c r="P4" s="1"/>
      <c r="Q4" s="1"/>
      <c r="R4" s="1"/>
      <c r="S4" s="1"/>
      <c r="T4" s="1"/>
      <c r="U4" s="93" t="s">
        <v>2</v>
      </c>
      <c r="V4" s="93"/>
      <c r="W4" s="93"/>
      <c r="X4" s="93"/>
      <c r="Y4" s="93"/>
      <c r="Z4" s="93"/>
      <c r="AA4" s="93"/>
      <c r="AB4" s="93"/>
      <c r="AC4" s="93"/>
      <c r="AD4" s="93"/>
      <c r="AE4" s="96"/>
    </row>
    <row r="5" spans="1:31" ht="21.6" customHeight="1">
      <c r="A5" s="6"/>
      <c r="B5" s="1"/>
      <c r="C5" s="1"/>
      <c r="D5" s="1"/>
      <c r="E5" s="1"/>
      <c r="F5" s="1"/>
      <c r="G5" s="1"/>
      <c r="H5" s="1"/>
      <c r="I5" s="1"/>
      <c r="J5" s="1"/>
      <c r="K5" s="1"/>
      <c r="L5" s="1"/>
      <c r="M5" s="1"/>
      <c r="N5" s="1"/>
      <c r="O5" s="1"/>
      <c r="P5" s="1"/>
      <c r="Q5" s="1"/>
      <c r="R5" s="1"/>
      <c r="S5" s="1"/>
      <c r="T5" s="1"/>
      <c r="U5" s="93" t="s">
        <v>41</v>
      </c>
      <c r="V5" s="93"/>
      <c r="W5" s="93"/>
      <c r="X5" s="93"/>
      <c r="Y5" s="93"/>
      <c r="Z5" s="93"/>
      <c r="AA5" s="93"/>
      <c r="AB5" s="93"/>
      <c r="AC5" s="93"/>
      <c r="AD5" s="93"/>
      <c r="AE5" s="96"/>
    </row>
    <row r="6" spans="1:31" ht="21.6" customHeight="1">
      <c r="A6" s="6"/>
      <c r="B6" s="1"/>
      <c r="C6" s="1"/>
      <c r="D6" s="1"/>
      <c r="E6" s="1"/>
      <c r="F6" s="1"/>
      <c r="G6" s="1"/>
      <c r="H6" s="1"/>
      <c r="I6" s="1"/>
      <c r="J6" s="1"/>
      <c r="K6" s="1"/>
      <c r="L6" s="1"/>
      <c r="M6" s="1"/>
      <c r="N6" s="1"/>
      <c r="O6" s="1"/>
      <c r="P6" s="1"/>
      <c r="Q6" s="1"/>
      <c r="R6" s="1"/>
      <c r="S6" s="1"/>
      <c r="T6" s="1"/>
      <c r="U6" s="93" t="s">
        <v>3</v>
      </c>
      <c r="V6" s="93"/>
      <c r="W6" s="93"/>
      <c r="X6" s="93"/>
      <c r="Y6" s="93"/>
      <c r="Z6" s="93"/>
      <c r="AA6" s="93"/>
      <c r="AB6" s="93"/>
      <c r="AC6" s="93"/>
      <c r="AD6" s="93"/>
      <c r="AE6" s="96"/>
    </row>
    <row r="7" spans="1:31" ht="21.6" customHeight="1">
      <c r="A7" s="6"/>
      <c r="B7" s="1"/>
      <c r="C7" s="1"/>
      <c r="D7" s="1"/>
      <c r="E7" s="1"/>
      <c r="F7" s="1"/>
      <c r="G7" s="1"/>
      <c r="H7" s="1"/>
      <c r="I7" s="1"/>
      <c r="J7" s="1"/>
      <c r="K7" s="1"/>
      <c r="L7" s="1"/>
      <c r="M7" s="1"/>
      <c r="N7" s="1"/>
      <c r="O7" s="1"/>
      <c r="P7" s="1"/>
      <c r="Q7" s="1"/>
      <c r="R7" s="1"/>
      <c r="S7" s="1"/>
      <c r="T7" s="1"/>
      <c r="U7" s="106" t="s">
        <v>4</v>
      </c>
      <c r="V7" s="106"/>
      <c r="W7" s="107" t="s">
        <v>40</v>
      </c>
      <c r="X7" s="107"/>
      <c r="Y7" s="107"/>
      <c r="Z7" s="107"/>
      <c r="AA7" s="107"/>
      <c r="AB7" s="107"/>
      <c r="AC7" s="107"/>
      <c r="AD7" s="1"/>
      <c r="AE7" s="5"/>
    </row>
    <row r="8" spans="1:31" ht="21.6" customHeight="1">
      <c r="A8" s="6"/>
      <c r="B8" s="1"/>
      <c r="C8" s="1"/>
      <c r="D8" s="1"/>
      <c r="E8" s="1"/>
      <c r="F8" s="1"/>
      <c r="G8" s="1"/>
      <c r="H8" s="1"/>
      <c r="I8" s="1"/>
      <c r="J8" s="1"/>
      <c r="K8" s="1"/>
      <c r="L8" s="1"/>
      <c r="M8" s="1"/>
      <c r="N8" s="1"/>
      <c r="O8" s="1"/>
      <c r="P8" s="1"/>
      <c r="Q8" s="1"/>
      <c r="R8" s="1"/>
      <c r="S8" s="1"/>
      <c r="T8" s="1"/>
      <c r="U8" s="93" t="s">
        <v>5</v>
      </c>
      <c r="V8" s="93"/>
      <c r="W8" s="93"/>
      <c r="X8" s="93"/>
      <c r="Y8" s="93"/>
      <c r="Z8" s="93"/>
      <c r="AA8" s="93"/>
      <c r="AB8" s="93"/>
      <c r="AC8" s="93"/>
      <c r="AD8" s="1"/>
      <c r="AE8" s="5"/>
    </row>
    <row r="9" spans="1:31" ht="19.95" customHeight="1">
      <c r="A9" s="6"/>
      <c r="B9" s="1"/>
      <c r="C9" s="1"/>
      <c r="D9" s="1"/>
      <c r="E9" s="1"/>
      <c r="F9" s="1"/>
      <c r="G9" s="1"/>
      <c r="H9" s="1"/>
      <c r="I9" s="1"/>
      <c r="J9" s="1"/>
      <c r="K9" s="1"/>
      <c r="L9" s="1"/>
      <c r="M9" s="1"/>
      <c r="N9" s="1"/>
      <c r="O9" s="1"/>
      <c r="P9" s="1"/>
      <c r="Q9" s="1"/>
      <c r="R9" s="1"/>
      <c r="S9" s="1"/>
      <c r="T9" s="1"/>
      <c r="U9" s="1"/>
      <c r="V9" s="1"/>
      <c r="W9" s="1"/>
      <c r="X9" s="1"/>
      <c r="Y9" s="1"/>
      <c r="Z9" s="1"/>
      <c r="AA9" s="1"/>
      <c r="AB9" s="1"/>
      <c r="AC9" s="1"/>
      <c r="AD9" s="1"/>
      <c r="AE9" s="5"/>
    </row>
    <row r="10" spans="1:31" ht="28.95" customHeight="1">
      <c r="A10" s="6"/>
      <c r="B10" s="94" t="s">
        <v>6</v>
      </c>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4"/>
      <c r="AC10" s="94"/>
      <c r="AD10" s="94"/>
      <c r="AE10" s="95"/>
    </row>
    <row r="11" spans="1:31" ht="28.95" customHeight="1">
      <c r="A11" s="6"/>
      <c r="B11" s="94" t="s">
        <v>30</v>
      </c>
      <c r="C11" s="94"/>
      <c r="D11" s="94"/>
      <c r="E11" s="94"/>
      <c r="F11" s="94"/>
      <c r="G11" s="94"/>
      <c r="H11" s="94"/>
      <c r="I11" s="94"/>
      <c r="J11" s="94"/>
      <c r="K11" s="94"/>
      <c r="L11" s="94"/>
      <c r="M11" s="94"/>
      <c r="N11" s="94"/>
      <c r="O11" s="94"/>
      <c r="P11" s="94"/>
      <c r="Q11" s="94"/>
      <c r="R11" s="94"/>
      <c r="S11" s="94"/>
      <c r="T11" s="94"/>
      <c r="U11" s="94"/>
      <c r="V11" s="94"/>
      <c r="W11" s="94"/>
      <c r="X11" s="94"/>
      <c r="Y11" s="94"/>
      <c r="Z11" s="94"/>
      <c r="AA11" s="94"/>
      <c r="AB11" s="94"/>
      <c r="AC11" s="94"/>
      <c r="AD11" s="94"/>
      <c r="AE11" s="95"/>
    </row>
    <row r="12" spans="1:31" ht="12" customHeight="1">
      <c r="A12" s="6"/>
      <c r="B12" s="94"/>
      <c r="C12" s="94"/>
      <c r="D12" s="94"/>
      <c r="E12" s="94"/>
      <c r="F12" s="94"/>
      <c r="G12" s="94"/>
      <c r="H12" s="94"/>
      <c r="I12" s="94"/>
      <c r="J12" s="94"/>
      <c r="K12" s="94"/>
      <c r="L12" s="94"/>
      <c r="M12" s="94"/>
      <c r="N12" s="94"/>
      <c r="O12" s="94"/>
      <c r="P12" s="94"/>
      <c r="Q12" s="94"/>
      <c r="R12" s="94"/>
      <c r="S12" s="94"/>
      <c r="T12" s="94"/>
      <c r="U12" s="94"/>
      <c r="V12" s="94"/>
      <c r="W12" s="94"/>
      <c r="X12" s="94"/>
      <c r="Y12" s="94"/>
      <c r="Z12" s="94"/>
      <c r="AA12" s="94"/>
      <c r="AB12" s="1"/>
      <c r="AC12" s="1"/>
      <c r="AD12" s="1"/>
      <c r="AE12" s="5"/>
    </row>
    <row r="13" spans="1:31" ht="28.95" customHeight="1">
      <c r="A13" s="6"/>
      <c r="B13" s="94" t="s">
        <v>7</v>
      </c>
      <c r="C13" s="94"/>
      <c r="D13" s="94"/>
      <c r="E13" s="94"/>
      <c r="F13" s="94"/>
      <c r="G13" s="94"/>
      <c r="H13" s="94"/>
      <c r="I13" s="94"/>
      <c r="J13" s="94"/>
      <c r="K13" s="94"/>
      <c r="L13" s="94"/>
      <c r="M13" s="94"/>
      <c r="N13" s="94"/>
      <c r="O13" s="94"/>
      <c r="P13" s="94"/>
      <c r="Q13" s="94"/>
      <c r="R13" s="94"/>
      <c r="S13" s="94"/>
      <c r="T13" s="94"/>
      <c r="U13" s="94"/>
      <c r="V13" s="94"/>
      <c r="W13" s="94"/>
      <c r="X13" s="94"/>
      <c r="Y13" s="94"/>
      <c r="Z13" s="94"/>
      <c r="AA13" s="94"/>
      <c r="AB13" s="94"/>
      <c r="AC13" s="94"/>
      <c r="AD13" s="94"/>
      <c r="AE13" s="95"/>
    </row>
    <row r="14" spans="1:31" ht="28.95" customHeight="1">
      <c r="A14" s="7"/>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9"/>
    </row>
    <row r="15" spans="1:31" ht="20.399999999999999" customHeight="1">
      <c r="A15" s="82" t="s">
        <v>8</v>
      </c>
      <c r="B15" s="84" t="s">
        <v>9</v>
      </c>
      <c r="C15" s="85"/>
      <c r="D15" s="86"/>
      <c r="E15" s="84" t="s">
        <v>10</v>
      </c>
      <c r="F15" s="85"/>
      <c r="G15" s="85"/>
      <c r="H15" s="85"/>
      <c r="I15" s="85"/>
      <c r="J15" s="85"/>
      <c r="K15" s="86"/>
      <c r="L15" s="90" t="s">
        <v>11</v>
      </c>
      <c r="M15" s="91"/>
      <c r="N15" s="91"/>
      <c r="O15" s="92"/>
      <c r="P15" s="84" t="s">
        <v>12</v>
      </c>
      <c r="Q15" s="86"/>
      <c r="R15" s="75"/>
      <c r="S15" s="75"/>
      <c r="T15" s="75"/>
      <c r="U15" s="75"/>
      <c r="V15" s="75" t="s">
        <v>13</v>
      </c>
      <c r="W15" s="75"/>
      <c r="X15" s="75"/>
      <c r="Y15" s="75"/>
      <c r="Z15" s="75"/>
      <c r="AA15" s="75"/>
      <c r="AB15" s="75" t="s">
        <v>14</v>
      </c>
      <c r="AC15" s="75"/>
      <c r="AD15" s="75"/>
      <c r="AE15" s="76"/>
    </row>
    <row r="16" spans="1:31" ht="22.2" customHeight="1">
      <c r="A16" s="83"/>
      <c r="B16" s="87"/>
      <c r="C16" s="88"/>
      <c r="D16" s="89"/>
      <c r="E16" s="87"/>
      <c r="F16" s="88"/>
      <c r="G16" s="88"/>
      <c r="H16" s="88"/>
      <c r="I16" s="88"/>
      <c r="J16" s="88"/>
      <c r="K16" s="89"/>
      <c r="L16" s="77" t="s">
        <v>15</v>
      </c>
      <c r="M16" s="78"/>
      <c r="N16" s="78"/>
      <c r="O16" s="79"/>
      <c r="P16" s="87"/>
      <c r="Q16" s="89"/>
      <c r="R16" s="80"/>
      <c r="S16" s="80"/>
      <c r="T16" s="80"/>
      <c r="U16" s="80"/>
      <c r="V16" s="80"/>
      <c r="W16" s="80"/>
      <c r="X16" s="80"/>
      <c r="Y16" s="80"/>
      <c r="Z16" s="80"/>
      <c r="AA16" s="80"/>
      <c r="AB16" s="80" t="s">
        <v>16</v>
      </c>
      <c r="AC16" s="80"/>
      <c r="AD16" s="80"/>
      <c r="AE16" s="81"/>
    </row>
    <row r="17" spans="1:31" ht="24.6" customHeight="1">
      <c r="A17" s="45">
        <v>1</v>
      </c>
      <c r="B17" s="47" t="str">
        <f>IF(発注依頼票!A2="","",発注依頼票!A2)</f>
        <v/>
      </c>
      <c r="C17" s="47"/>
      <c r="D17" s="47"/>
      <c r="E17" s="49" t="str">
        <f>IF(発注依頼票!E2="","",発注依頼票!E2)</f>
        <v/>
      </c>
      <c r="F17" s="50"/>
      <c r="G17" s="50"/>
      <c r="H17" s="50"/>
      <c r="I17" s="50"/>
      <c r="J17" s="50"/>
      <c r="K17" s="51"/>
      <c r="L17" s="73" t="str">
        <f>IF(発注依頼票!G2="","",発注依頼票!G2)</f>
        <v/>
      </c>
      <c r="M17" s="73"/>
      <c r="N17" s="73"/>
      <c r="O17" s="73"/>
      <c r="P17" s="56">
        <f>IF(発注依頼票!J2="","",発注依頼票!J2)</f>
        <v>0</v>
      </c>
      <c r="Q17" s="56"/>
      <c r="R17" s="58"/>
      <c r="S17" s="58"/>
      <c r="T17" s="58"/>
      <c r="U17" s="58"/>
      <c r="V17" s="68" t="s">
        <v>43</v>
      </c>
      <c r="W17" s="69"/>
      <c r="X17" s="69"/>
      <c r="Y17" s="69"/>
      <c r="Z17" s="69"/>
      <c r="AA17" s="70"/>
      <c r="AB17" s="66"/>
      <c r="AC17" s="66"/>
      <c r="AD17" s="66"/>
      <c r="AE17" s="67"/>
    </row>
    <row r="18" spans="1:31" ht="24.6" customHeight="1">
      <c r="A18" s="46"/>
      <c r="B18" s="48"/>
      <c r="C18" s="48"/>
      <c r="D18" s="48"/>
      <c r="E18" s="52"/>
      <c r="F18" s="53"/>
      <c r="G18" s="53"/>
      <c r="H18" s="53"/>
      <c r="I18" s="53"/>
      <c r="J18" s="53"/>
      <c r="K18" s="54"/>
      <c r="L18" s="74" t="str">
        <f>IF(発注依頼票!H2="","",発注依頼票!H2)</f>
        <v/>
      </c>
      <c r="M18" s="74"/>
      <c r="N18" s="74"/>
      <c r="O18" s="74"/>
      <c r="P18" s="57"/>
      <c r="Q18" s="57"/>
      <c r="R18" s="61"/>
      <c r="S18" s="61"/>
      <c r="T18" s="61"/>
      <c r="U18" s="61"/>
      <c r="V18" s="62"/>
      <c r="W18" s="63"/>
      <c r="X18" s="63"/>
      <c r="Y18" s="63"/>
      <c r="Z18" s="63"/>
      <c r="AA18" s="63"/>
      <c r="AB18" s="64"/>
      <c r="AC18" s="64"/>
      <c r="AD18" s="64"/>
      <c r="AE18" s="65"/>
    </row>
    <row r="19" spans="1:31" ht="24.6" customHeight="1">
      <c r="A19" s="45">
        <v>2</v>
      </c>
      <c r="B19" s="47" t="str">
        <f>IF(発注依頼票!A3="","",発注依頼票!A3)</f>
        <v/>
      </c>
      <c r="C19" s="47"/>
      <c r="D19" s="47"/>
      <c r="E19" s="49" t="str">
        <f>IF(発注依頼票!E3="","",発注依頼票!E3)</f>
        <v/>
      </c>
      <c r="F19" s="50"/>
      <c r="G19" s="50"/>
      <c r="H19" s="50"/>
      <c r="I19" s="50"/>
      <c r="J19" s="50"/>
      <c r="K19" s="51"/>
      <c r="L19" s="71" t="str">
        <f>IF(発注依頼票!G3="","",発注依頼票!G3)</f>
        <v/>
      </c>
      <c r="M19" s="71"/>
      <c r="N19" s="71"/>
      <c r="O19" s="71"/>
      <c r="P19" s="56">
        <f>IF(発注依頼票!J3="","",発注依頼票!J3)</f>
        <v>0</v>
      </c>
      <c r="Q19" s="56"/>
      <c r="R19" s="58"/>
      <c r="S19" s="58"/>
      <c r="T19" s="58"/>
      <c r="U19" s="58"/>
      <c r="V19" s="68"/>
      <c r="W19" s="69"/>
      <c r="X19" s="69"/>
      <c r="Y19" s="69"/>
      <c r="Z19" s="69"/>
      <c r="AA19" s="70"/>
      <c r="AB19" s="66"/>
      <c r="AC19" s="66"/>
      <c r="AD19" s="66"/>
      <c r="AE19" s="67"/>
    </row>
    <row r="20" spans="1:31" ht="24.6" customHeight="1">
      <c r="A20" s="46"/>
      <c r="B20" s="48"/>
      <c r="C20" s="48"/>
      <c r="D20" s="48"/>
      <c r="E20" s="52"/>
      <c r="F20" s="53"/>
      <c r="G20" s="53"/>
      <c r="H20" s="53"/>
      <c r="I20" s="53"/>
      <c r="J20" s="53"/>
      <c r="K20" s="54"/>
      <c r="L20" s="72" t="str">
        <f>IF(発注依頼票!H3="","",発注依頼票!H3)</f>
        <v/>
      </c>
      <c r="M20" s="72"/>
      <c r="N20" s="72"/>
      <c r="O20" s="72"/>
      <c r="P20" s="57"/>
      <c r="Q20" s="57"/>
      <c r="R20" s="61"/>
      <c r="S20" s="61"/>
      <c r="T20" s="61"/>
      <c r="U20" s="61"/>
      <c r="V20" s="62"/>
      <c r="W20" s="63"/>
      <c r="X20" s="63"/>
      <c r="Y20" s="63"/>
      <c r="Z20" s="63"/>
      <c r="AA20" s="63"/>
      <c r="AB20" s="64"/>
      <c r="AC20" s="64"/>
      <c r="AD20" s="64"/>
      <c r="AE20" s="65"/>
    </row>
    <row r="21" spans="1:31" ht="24.6" customHeight="1">
      <c r="A21" s="45">
        <v>3</v>
      </c>
      <c r="B21" s="47" t="str">
        <f>IF(発注依頼票!A4="","",発注依頼票!A4)</f>
        <v/>
      </c>
      <c r="C21" s="47"/>
      <c r="D21" s="47"/>
      <c r="E21" s="49" t="str">
        <f>IF(発注依頼票!E4="","",発注依頼票!E4)</f>
        <v/>
      </c>
      <c r="F21" s="50"/>
      <c r="G21" s="50"/>
      <c r="H21" s="50"/>
      <c r="I21" s="50"/>
      <c r="J21" s="50"/>
      <c r="K21" s="51"/>
      <c r="L21" s="55" t="str">
        <f>IF(発注依頼票!G4="","",発注依頼票!G4)</f>
        <v/>
      </c>
      <c r="M21" s="55"/>
      <c r="N21" s="55"/>
      <c r="O21" s="55"/>
      <c r="P21" s="56">
        <f>IF(発注依頼票!J4="","",発注依頼票!J4)</f>
        <v>0</v>
      </c>
      <c r="Q21" s="56"/>
      <c r="R21" s="58"/>
      <c r="S21" s="58"/>
      <c r="T21" s="58"/>
      <c r="U21" s="58"/>
      <c r="V21" s="68"/>
      <c r="W21" s="69"/>
      <c r="X21" s="69"/>
      <c r="Y21" s="69"/>
      <c r="Z21" s="69"/>
      <c r="AA21" s="70"/>
      <c r="AB21" s="66"/>
      <c r="AC21" s="66"/>
      <c r="AD21" s="66"/>
      <c r="AE21" s="67"/>
    </row>
    <row r="22" spans="1:31" ht="24.6" customHeight="1">
      <c r="A22" s="46"/>
      <c r="B22" s="48"/>
      <c r="C22" s="48"/>
      <c r="D22" s="48"/>
      <c r="E22" s="52"/>
      <c r="F22" s="53"/>
      <c r="G22" s="53"/>
      <c r="H22" s="53"/>
      <c r="I22" s="53"/>
      <c r="J22" s="53"/>
      <c r="K22" s="54"/>
      <c r="L22" s="60" t="str">
        <f>IF(発注依頼票!H4="","",発注依頼票!H4)</f>
        <v/>
      </c>
      <c r="M22" s="60"/>
      <c r="N22" s="60"/>
      <c r="O22" s="60"/>
      <c r="P22" s="57"/>
      <c r="Q22" s="57"/>
      <c r="R22" s="61"/>
      <c r="S22" s="61"/>
      <c r="T22" s="61"/>
      <c r="U22" s="61"/>
      <c r="V22" s="62"/>
      <c r="W22" s="63"/>
      <c r="X22" s="63"/>
      <c r="Y22" s="63"/>
      <c r="Z22" s="63"/>
      <c r="AA22" s="63"/>
      <c r="AB22" s="64"/>
      <c r="AC22" s="64"/>
      <c r="AD22" s="64"/>
      <c r="AE22" s="65"/>
    </row>
    <row r="23" spans="1:31" ht="24.6" customHeight="1">
      <c r="A23" s="45">
        <v>4</v>
      </c>
      <c r="B23" s="47" t="str">
        <f>IF(発注依頼票!A5="","",発注依頼票!A5)</f>
        <v/>
      </c>
      <c r="C23" s="47"/>
      <c r="D23" s="47"/>
      <c r="E23" s="49" t="str">
        <f>IF(発注依頼票!E5="","",発注依頼票!E5)</f>
        <v/>
      </c>
      <c r="F23" s="50"/>
      <c r="G23" s="50"/>
      <c r="H23" s="50"/>
      <c r="I23" s="50"/>
      <c r="J23" s="50"/>
      <c r="K23" s="51"/>
      <c r="L23" s="55" t="str">
        <f>IF(発注依頼票!G5="","",発注依頼票!G5)</f>
        <v/>
      </c>
      <c r="M23" s="55"/>
      <c r="N23" s="55"/>
      <c r="O23" s="55"/>
      <c r="P23" s="56">
        <f>IF(発注依頼票!J5="","",発注依頼票!J5)</f>
        <v>0</v>
      </c>
      <c r="Q23" s="56"/>
      <c r="R23" s="58"/>
      <c r="S23" s="58"/>
      <c r="T23" s="58"/>
      <c r="U23" s="58"/>
      <c r="V23" s="68"/>
      <c r="W23" s="69"/>
      <c r="X23" s="69"/>
      <c r="Y23" s="69"/>
      <c r="Z23" s="69"/>
      <c r="AA23" s="70"/>
      <c r="AB23" s="66"/>
      <c r="AC23" s="66"/>
      <c r="AD23" s="66"/>
      <c r="AE23" s="67"/>
    </row>
    <row r="24" spans="1:31" ht="24.6" customHeight="1">
      <c r="A24" s="46"/>
      <c r="B24" s="48"/>
      <c r="C24" s="48"/>
      <c r="D24" s="48"/>
      <c r="E24" s="52"/>
      <c r="F24" s="53"/>
      <c r="G24" s="53"/>
      <c r="H24" s="53"/>
      <c r="I24" s="53"/>
      <c r="J24" s="53"/>
      <c r="K24" s="54"/>
      <c r="L24" s="60" t="str">
        <f>IF(発注依頼票!H5="","",発注依頼票!H5)</f>
        <v/>
      </c>
      <c r="M24" s="60"/>
      <c r="N24" s="60"/>
      <c r="O24" s="60"/>
      <c r="P24" s="57"/>
      <c r="Q24" s="57"/>
      <c r="R24" s="61"/>
      <c r="S24" s="61"/>
      <c r="T24" s="61"/>
      <c r="U24" s="61"/>
      <c r="V24" s="62"/>
      <c r="W24" s="63"/>
      <c r="X24" s="63"/>
      <c r="Y24" s="63"/>
      <c r="Z24" s="63"/>
      <c r="AA24" s="63"/>
      <c r="AB24" s="64"/>
      <c r="AC24" s="64"/>
      <c r="AD24" s="64"/>
      <c r="AE24" s="65"/>
    </row>
    <row r="25" spans="1:31" ht="24.6" customHeight="1">
      <c r="A25" s="45">
        <v>5</v>
      </c>
      <c r="B25" s="47" t="str">
        <f>IF(発注依頼票!A6="","",発注依頼票!A6)</f>
        <v/>
      </c>
      <c r="C25" s="47"/>
      <c r="D25" s="47"/>
      <c r="E25" s="49" t="str">
        <f>IF(発注依頼票!E6="","",発注依頼票!E6)</f>
        <v/>
      </c>
      <c r="F25" s="50"/>
      <c r="G25" s="50"/>
      <c r="H25" s="50"/>
      <c r="I25" s="50"/>
      <c r="J25" s="50"/>
      <c r="K25" s="51"/>
      <c r="L25" s="55" t="str">
        <f>IF(発注依頼票!G6="","",発注依頼票!G6)</f>
        <v/>
      </c>
      <c r="M25" s="55"/>
      <c r="N25" s="55"/>
      <c r="O25" s="55"/>
      <c r="P25" s="56">
        <f>IF(発注依頼票!J6="","",発注依頼票!J6)</f>
        <v>0</v>
      </c>
      <c r="Q25" s="56"/>
      <c r="R25" s="58"/>
      <c r="S25" s="58"/>
      <c r="T25" s="58"/>
      <c r="U25" s="58"/>
      <c r="V25" s="47"/>
      <c r="W25" s="47"/>
      <c r="X25" s="47"/>
      <c r="Y25" s="47"/>
      <c r="Z25" s="47"/>
      <c r="AA25" s="47"/>
      <c r="AB25" s="66"/>
      <c r="AC25" s="66"/>
      <c r="AD25" s="66"/>
      <c r="AE25" s="67"/>
    </row>
    <row r="26" spans="1:31" ht="24.6" customHeight="1">
      <c r="A26" s="46"/>
      <c r="B26" s="48"/>
      <c r="C26" s="48"/>
      <c r="D26" s="48"/>
      <c r="E26" s="52"/>
      <c r="F26" s="53"/>
      <c r="G26" s="53"/>
      <c r="H26" s="53"/>
      <c r="I26" s="53"/>
      <c r="J26" s="53"/>
      <c r="K26" s="54"/>
      <c r="L26" s="60" t="str">
        <f>IF(発注依頼票!H6="","",発注依頼票!H6)</f>
        <v/>
      </c>
      <c r="M26" s="60"/>
      <c r="N26" s="60"/>
      <c r="O26" s="60"/>
      <c r="P26" s="57"/>
      <c r="Q26" s="57"/>
      <c r="R26" s="61"/>
      <c r="S26" s="61"/>
      <c r="T26" s="61"/>
      <c r="U26" s="61"/>
      <c r="V26" s="62"/>
      <c r="W26" s="63"/>
      <c r="X26" s="63"/>
      <c r="Y26" s="63"/>
      <c r="Z26" s="63"/>
      <c r="AA26" s="63"/>
      <c r="AB26" s="64"/>
      <c r="AC26" s="64"/>
      <c r="AD26" s="64"/>
      <c r="AE26" s="65"/>
    </row>
    <row r="27" spans="1:31" ht="24.6" customHeight="1">
      <c r="A27" s="45">
        <v>6</v>
      </c>
      <c r="B27" s="47" t="str">
        <f>IF(発注依頼票!A7="","",発注依頼票!A7)</f>
        <v/>
      </c>
      <c r="C27" s="47"/>
      <c r="D27" s="47"/>
      <c r="E27" s="49" t="str">
        <f>IF(発注依頼票!E7="","",発注依頼票!E7)</f>
        <v/>
      </c>
      <c r="F27" s="50"/>
      <c r="G27" s="50"/>
      <c r="H27" s="50"/>
      <c r="I27" s="50"/>
      <c r="J27" s="50"/>
      <c r="K27" s="51"/>
      <c r="L27" s="55" t="str">
        <f>IF(発注依頼票!G7="","",発注依頼票!G7)</f>
        <v/>
      </c>
      <c r="M27" s="55"/>
      <c r="N27" s="55"/>
      <c r="O27" s="55"/>
      <c r="P27" s="56">
        <f>IF(発注依頼票!J7="","",発注依頼票!J7)</f>
        <v>0</v>
      </c>
      <c r="Q27" s="56"/>
      <c r="R27" s="58"/>
      <c r="S27" s="58"/>
      <c r="T27" s="58"/>
      <c r="U27" s="58"/>
      <c r="V27" s="47"/>
      <c r="W27" s="47"/>
      <c r="X27" s="47"/>
      <c r="Y27" s="47"/>
      <c r="Z27" s="47"/>
      <c r="AA27" s="47"/>
      <c r="AB27" s="66"/>
      <c r="AC27" s="66"/>
      <c r="AD27" s="66"/>
      <c r="AE27" s="67"/>
    </row>
    <row r="28" spans="1:31" ht="24.6" customHeight="1">
      <c r="A28" s="46"/>
      <c r="B28" s="48"/>
      <c r="C28" s="48"/>
      <c r="D28" s="48"/>
      <c r="E28" s="52"/>
      <c r="F28" s="53"/>
      <c r="G28" s="53"/>
      <c r="H28" s="53"/>
      <c r="I28" s="53"/>
      <c r="J28" s="53"/>
      <c r="K28" s="54"/>
      <c r="L28" s="60" t="str">
        <f>IF(発注依頼票!H7="","",発注依頼票!H7)</f>
        <v/>
      </c>
      <c r="M28" s="60"/>
      <c r="N28" s="60"/>
      <c r="O28" s="60"/>
      <c r="P28" s="57"/>
      <c r="Q28" s="57"/>
      <c r="R28" s="61"/>
      <c r="S28" s="61"/>
      <c r="T28" s="61"/>
      <c r="U28" s="61"/>
      <c r="V28" s="62"/>
      <c r="W28" s="63"/>
      <c r="X28" s="63"/>
      <c r="Y28" s="63"/>
      <c r="Z28" s="63"/>
      <c r="AA28" s="63"/>
      <c r="AB28" s="64"/>
      <c r="AC28" s="64"/>
      <c r="AD28" s="64"/>
      <c r="AE28" s="65"/>
    </row>
    <row r="29" spans="1:31" ht="24.6" customHeight="1">
      <c r="A29" s="45">
        <v>7</v>
      </c>
      <c r="B29" s="47" t="str">
        <f>IF(発注依頼票!A8="","",発注依頼票!A8)</f>
        <v/>
      </c>
      <c r="C29" s="47"/>
      <c r="D29" s="47"/>
      <c r="E29" s="49" t="str">
        <f>IF(発注依頼票!E8="","",発注依頼票!E8)</f>
        <v/>
      </c>
      <c r="F29" s="50"/>
      <c r="G29" s="50"/>
      <c r="H29" s="50"/>
      <c r="I29" s="50"/>
      <c r="J29" s="50"/>
      <c r="K29" s="51"/>
      <c r="L29" s="55" t="str">
        <f>IF(発注依頼票!G8="","",発注依頼票!G8)</f>
        <v/>
      </c>
      <c r="M29" s="55"/>
      <c r="N29" s="55"/>
      <c r="O29" s="55"/>
      <c r="P29" s="56">
        <f>IF(発注依頼票!J8="","",発注依頼票!J8)</f>
        <v>0</v>
      </c>
      <c r="Q29" s="56"/>
      <c r="R29" s="58"/>
      <c r="S29" s="58"/>
      <c r="T29" s="58"/>
      <c r="U29" s="58"/>
      <c r="V29" s="47"/>
      <c r="W29" s="47"/>
      <c r="X29" s="47"/>
      <c r="Y29" s="47"/>
      <c r="Z29" s="47"/>
      <c r="AA29" s="47"/>
      <c r="AB29" s="47"/>
      <c r="AC29" s="47"/>
      <c r="AD29" s="47"/>
      <c r="AE29" s="59"/>
    </row>
    <row r="30" spans="1:31" ht="24.6" customHeight="1">
      <c r="A30" s="46"/>
      <c r="B30" s="48"/>
      <c r="C30" s="48"/>
      <c r="D30" s="48"/>
      <c r="E30" s="52"/>
      <c r="F30" s="53"/>
      <c r="G30" s="53"/>
      <c r="H30" s="53"/>
      <c r="I30" s="53"/>
      <c r="J30" s="53"/>
      <c r="K30" s="54"/>
      <c r="L30" s="60" t="str">
        <f>IF(発注依頼票!H8="","",発注依頼票!H8)</f>
        <v/>
      </c>
      <c r="M30" s="60"/>
      <c r="N30" s="60"/>
      <c r="O30" s="60"/>
      <c r="P30" s="57"/>
      <c r="Q30" s="57"/>
      <c r="R30" s="61"/>
      <c r="S30" s="61"/>
      <c r="T30" s="61"/>
      <c r="U30" s="61"/>
      <c r="V30" s="62"/>
      <c r="W30" s="63"/>
      <c r="X30" s="63"/>
      <c r="Y30" s="63"/>
      <c r="Z30" s="63"/>
      <c r="AA30" s="63"/>
      <c r="AB30" s="64"/>
      <c r="AC30" s="64"/>
      <c r="AD30" s="64"/>
      <c r="AE30" s="65"/>
    </row>
    <row r="31" spans="1:31" ht="24.6" customHeight="1">
      <c r="A31" s="45">
        <v>8</v>
      </c>
      <c r="B31" s="47" t="str">
        <f>IF(発注依頼票!A9="","",発注依頼票!A9)</f>
        <v/>
      </c>
      <c r="C31" s="47"/>
      <c r="D31" s="47"/>
      <c r="E31" s="49" t="str">
        <f>IF(発注依頼票!E9="","",発注依頼票!E9)</f>
        <v/>
      </c>
      <c r="F31" s="50"/>
      <c r="G31" s="50"/>
      <c r="H31" s="50"/>
      <c r="I31" s="50"/>
      <c r="J31" s="50"/>
      <c r="K31" s="51"/>
      <c r="L31" s="55" t="str">
        <f>IF(発注依頼票!G9="","",発注依頼票!G9)</f>
        <v/>
      </c>
      <c r="M31" s="55"/>
      <c r="N31" s="55"/>
      <c r="O31" s="55"/>
      <c r="P31" s="56">
        <f>IF(発注依頼票!J9="","",発注依頼票!J9)</f>
        <v>0</v>
      </c>
      <c r="Q31" s="56"/>
      <c r="R31" s="58"/>
      <c r="S31" s="58"/>
      <c r="T31" s="58"/>
      <c r="U31" s="58"/>
      <c r="V31" s="47"/>
      <c r="W31" s="47"/>
      <c r="X31" s="47"/>
      <c r="Y31" s="47"/>
      <c r="Z31" s="47"/>
      <c r="AA31" s="47"/>
      <c r="AB31" s="47"/>
      <c r="AC31" s="47"/>
      <c r="AD31" s="47"/>
      <c r="AE31" s="59"/>
    </row>
    <row r="32" spans="1:31" ht="24.6" customHeight="1">
      <c r="A32" s="46"/>
      <c r="B32" s="48"/>
      <c r="C32" s="48"/>
      <c r="D32" s="48"/>
      <c r="E32" s="52"/>
      <c r="F32" s="53"/>
      <c r="G32" s="53"/>
      <c r="H32" s="53"/>
      <c r="I32" s="53"/>
      <c r="J32" s="53"/>
      <c r="K32" s="54"/>
      <c r="L32" s="60" t="str">
        <f>IF(発注依頼票!H9="","",発注依頼票!H9)</f>
        <v/>
      </c>
      <c r="M32" s="60"/>
      <c r="N32" s="60"/>
      <c r="O32" s="60"/>
      <c r="P32" s="57"/>
      <c r="Q32" s="57"/>
      <c r="R32" s="61"/>
      <c r="S32" s="61"/>
      <c r="T32" s="61"/>
      <c r="U32" s="61"/>
      <c r="V32" s="62"/>
      <c r="W32" s="63"/>
      <c r="X32" s="63"/>
      <c r="Y32" s="63"/>
      <c r="Z32" s="63"/>
      <c r="AA32" s="63"/>
      <c r="AB32" s="64"/>
      <c r="AC32" s="64"/>
      <c r="AD32" s="64"/>
      <c r="AE32" s="65"/>
    </row>
    <row r="33" spans="1:31" ht="24.6" customHeight="1">
      <c r="A33" s="45">
        <v>9</v>
      </c>
      <c r="B33" s="47" t="str">
        <f>IF(発注依頼票!A10="","",発注依頼票!A10)</f>
        <v/>
      </c>
      <c r="C33" s="47"/>
      <c r="D33" s="47"/>
      <c r="E33" s="49" t="str">
        <f>IF(発注依頼票!E10="","",発注依頼票!E10)</f>
        <v/>
      </c>
      <c r="F33" s="50"/>
      <c r="G33" s="50"/>
      <c r="H33" s="50"/>
      <c r="I33" s="50"/>
      <c r="J33" s="50"/>
      <c r="K33" s="51"/>
      <c r="L33" s="55" t="str">
        <f>IF(発注依頼票!G10="","",発注依頼票!G10)</f>
        <v/>
      </c>
      <c r="M33" s="55"/>
      <c r="N33" s="55"/>
      <c r="O33" s="55"/>
      <c r="P33" s="56">
        <f>IF(発注依頼票!J10="","",発注依頼票!J10)</f>
        <v>0</v>
      </c>
      <c r="Q33" s="56"/>
      <c r="R33" s="58"/>
      <c r="S33" s="58"/>
      <c r="T33" s="58"/>
      <c r="U33" s="58"/>
      <c r="V33" s="47"/>
      <c r="W33" s="47"/>
      <c r="X33" s="47"/>
      <c r="Y33" s="47"/>
      <c r="Z33" s="47"/>
      <c r="AA33" s="47"/>
      <c r="AB33" s="47"/>
      <c r="AC33" s="47"/>
      <c r="AD33" s="47"/>
      <c r="AE33" s="59"/>
    </row>
    <row r="34" spans="1:31" ht="24.6" customHeight="1">
      <c r="A34" s="46"/>
      <c r="B34" s="48"/>
      <c r="C34" s="48"/>
      <c r="D34" s="48"/>
      <c r="E34" s="52"/>
      <c r="F34" s="53"/>
      <c r="G34" s="53"/>
      <c r="H34" s="53"/>
      <c r="I34" s="53"/>
      <c r="J34" s="53"/>
      <c r="K34" s="54"/>
      <c r="L34" s="60" t="str">
        <f>IF(発注依頼票!H10="","",発注依頼票!H10)</f>
        <v/>
      </c>
      <c r="M34" s="60"/>
      <c r="N34" s="60"/>
      <c r="O34" s="60"/>
      <c r="P34" s="57"/>
      <c r="Q34" s="57"/>
      <c r="R34" s="61"/>
      <c r="S34" s="61"/>
      <c r="T34" s="61"/>
      <c r="U34" s="61"/>
      <c r="V34" s="62"/>
      <c r="W34" s="63"/>
      <c r="X34" s="63"/>
      <c r="Y34" s="63"/>
      <c r="Z34" s="63"/>
      <c r="AA34" s="63"/>
      <c r="AB34" s="64"/>
      <c r="AC34" s="64"/>
      <c r="AD34" s="64"/>
      <c r="AE34" s="65"/>
    </row>
    <row r="35" spans="1:31" ht="24.6" customHeight="1">
      <c r="A35" s="45">
        <v>10</v>
      </c>
      <c r="B35" s="47" t="str">
        <f>IF(発注依頼票!A11="","",発注依頼票!A11)</f>
        <v/>
      </c>
      <c r="C35" s="47"/>
      <c r="D35" s="47"/>
      <c r="E35" s="49" t="str">
        <f>IF(発注依頼票!E11="","",発注依頼票!E11)</f>
        <v/>
      </c>
      <c r="F35" s="50"/>
      <c r="G35" s="50"/>
      <c r="H35" s="50"/>
      <c r="I35" s="50"/>
      <c r="J35" s="50"/>
      <c r="K35" s="51"/>
      <c r="L35" s="55" t="str">
        <f>IF(発注依頼票!G11="","",発注依頼票!G11)</f>
        <v/>
      </c>
      <c r="M35" s="55"/>
      <c r="N35" s="55"/>
      <c r="O35" s="55"/>
      <c r="P35" s="56">
        <f>IF(発注依頼票!J11="","",発注依頼票!J11)</f>
        <v>0</v>
      </c>
      <c r="Q35" s="56"/>
      <c r="R35" s="58"/>
      <c r="S35" s="58"/>
      <c r="T35" s="58"/>
      <c r="U35" s="58"/>
      <c r="V35" s="47"/>
      <c r="W35" s="47"/>
      <c r="X35" s="47"/>
      <c r="Y35" s="47"/>
      <c r="Z35" s="47"/>
      <c r="AA35" s="47"/>
      <c r="AB35" s="47"/>
      <c r="AC35" s="47"/>
      <c r="AD35" s="47"/>
      <c r="AE35" s="59"/>
    </row>
    <row r="36" spans="1:31" ht="24.6" customHeight="1">
      <c r="A36" s="46"/>
      <c r="B36" s="48"/>
      <c r="C36" s="48"/>
      <c r="D36" s="48"/>
      <c r="E36" s="52"/>
      <c r="F36" s="53"/>
      <c r="G36" s="53"/>
      <c r="H36" s="53"/>
      <c r="I36" s="53"/>
      <c r="J36" s="53"/>
      <c r="K36" s="54"/>
      <c r="L36" s="60" t="str">
        <f>IF(発注依頼票!H11="","",発注依頼票!H11)</f>
        <v/>
      </c>
      <c r="M36" s="60"/>
      <c r="N36" s="60"/>
      <c r="O36" s="60"/>
      <c r="P36" s="57"/>
      <c r="Q36" s="57"/>
      <c r="R36" s="61"/>
      <c r="S36" s="61"/>
      <c r="T36" s="61"/>
      <c r="U36" s="61"/>
      <c r="V36" s="62"/>
      <c r="W36" s="63"/>
      <c r="X36" s="63"/>
      <c r="Y36" s="63"/>
      <c r="Z36" s="63"/>
      <c r="AA36" s="63"/>
      <c r="AB36" s="64"/>
      <c r="AC36" s="64"/>
      <c r="AD36" s="64"/>
      <c r="AE36" s="65"/>
    </row>
  </sheetData>
  <mergeCells count="147">
    <mergeCell ref="U8:AC8"/>
    <mergeCell ref="B12:AA12"/>
    <mergeCell ref="B13:AE13"/>
    <mergeCell ref="B10:AE10"/>
    <mergeCell ref="B11:AE11"/>
    <mergeCell ref="U4:AE4"/>
    <mergeCell ref="A1:AE1"/>
    <mergeCell ref="V2:Y2"/>
    <mergeCell ref="Z2:AE2"/>
    <mergeCell ref="A3:K3"/>
    <mergeCell ref="L3:N3"/>
    <mergeCell ref="U5:AE5"/>
    <mergeCell ref="U6:AE6"/>
    <mergeCell ref="U7:V7"/>
    <mergeCell ref="W7:AC7"/>
    <mergeCell ref="R15:U15"/>
    <mergeCell ref="V15:AA15"/>
    <mergeCell ref="AB15:AE15"/>
    <mergeCell ref="L16:O16"/>
    <mergeCell ref="R16:U16"/>
    <mergeCell ref="V16:AA16"/>
    <mergeCell ref="AB16:AE16"/>
    <mergeCell ref="A15:A16"/>
    <mergeCell ref="B15:D16"/>
    <mergeCell ref="E15:K16"/>
    <mergeCell ref="L15:O15"/>
    <mergeCell ref="P15:Q16"/>
    <mergeCell ref="A17:A18"/>
    <mergeCell ref="B17:D18"/>
    <mergeCell ref="E17:K18"/>
    <mergeCell ref="L17:O17"/>
    <mergeCell ref="P17:Q18"/>
    <mergeCell ref="L18:O18"/>
    <mergeCell ref="R18:U18"/>
    <mergeCell ref="V18:AA18"/>
    <mergeCell ref="AB18:AE18"/>
    <mergeCell ref="R17:U17"/>
    <mergeCell ref="V17:AA17"/>
    <mergeCell ref="AB17:AE17"/>
    <mergeCell ref="A19:A20"/>
    <mergeCell ref="B19:D20"/>
    <mergeCell ref="E19:K20"/>
    <mergeCell ref="L19:O19"/>
    <mergeCell ref="P19:Q20"/>
    <mergeCell ref="V19:AA19"/>
    <mergeCell ref="AB19:AE19"/>
    <mergeCell ref="L20:O20"/>
    <mergeCell ref="R20:U20"/>
    <mergeCell ref="V20:AA20"/>
    <mergeCell ref="AB20:AE20"/>
    <mergeCell ref="R19:U19"/>
    <mergeCell ref="A21:A22"/>
    <mergeCell ref="B21:D22"/>
    <mergeCell ref="E21:K22"/>
    <mergeCell ref="L21:O21"/>
    <mergeCell ref="P21:Q22"/>
    <mergeCell ref="V21:AA21"/>
    <mergeCell ref="AB21:AE21"/>
    <mergeCell ref="L22:O22"/>
    <mergeCell ref="R22:U22"/>
    <mergeCell ref="V22:AA22"/>
    <mergeCell ref="AB22:AE22"/>
    <mergeCell ref="R21:U21"/>
    <mergeCell ref="A23:A24"/>
    <mergeCell ref="B23:D24"/>
    <mergeCell ref="E23:K24"/>
    <mergeCell ref="L23:O23"/>
    <mergeCell ref="P23:Q24"/>
    <mergeCell ref="V23:AA23"/>
    <mergeCell ref="AB23:AE23"/>
    <mergeCell ref="L24:O24"/>
    <mergeCell ref="R24:U24"/>
    <mergeCell ref="V24:AA24"/>
    <mergeCell ref="AB24:AE24"/>
    <mergeCell ref="R23:U23"/>
    <mergeCell ref="A25:A26"/>
    <mergeCell ref="B25:D26"/>
    <mergeCell ref="E25:K26"/>
    <mergeCell ref="L25:O25"/>
    <mergeCell ref="P25:Q26"/>
    <mergeCell ref="V25:AA25"/>
    <mergeCell ref="AB25:AE25"/>
    <mergeCell ref="L26:O26"/>
    <mergeCell ref="R26:U26"/>
    <mergeCell ref="V26:AA26"/>
    <mergeCell ref="AB26:AE26"/>
    <mergeCell ref="R25:U25"/>
    <mergeCell ref="R27:U27"/>
    <mergeCell ref="V27:AA27"/>
    <mergeCell ref="AB27:AE27"/>
    <mergeCell ref="L28:O28"/>
    <mergeCell ref="R28:U28"/>
    <mergeCell ref="V28:AA28"/>
    <mergeCell ref="AB28:AE28"/>
    <mergeCell ref="A27:A28"/>
    <mergeCell ref="B27:D28"/>
    <mergeCell ref="E27:K28"/>
    <mergeCell ref="L27:O27"/>
    <mergeCell ref="P27:Q28"/>
    <mergeCell ref="R29:U29"/>
    <mergeCell ref="V29:AA29"/>
    <mergeCell ref="AB29:AE29"/>
    <mergeCell ref="L30:O30"/>
    <mergeCell ref="R30:U30"/>
    <mergeCell ref="V30:AA30"/>
    <mergeCell ref="AB30:AE30"/>
    <mergeCell ref="A29:A30"/>
    <mergeCell ref="B29:D30"/>
    <mergeCell ref="E29:K30"/>
    <mergeCell ref="L29:O29"/>
    <mergeCell ref="P29:Q30"/>
    <mergeCell ref="R31:U31"/>
    <mergeCell ref="V31:AA31"/>
    <mergeCell ref="AB31:AE31"/>
    <mergeCell ref="L32:O32"/>
    <mergeCell ref="R32:U32"/>
    <mergeCell ref="V32:AA32"/>
    <mergeCell ref="AB32:AE32"/>
    <mergeCell ref="A31:A32"/>
    <mergeCell ref="B31:D32"/>
    <mergeCell ref="E31:K32"/>
    <mergeCell ref="L31:O31"/>
    <mergeCell ref="P31:Q32"/>
    <mergeCell ref="A33:A34"/>
    <mergeCell ref="B33:D34"/>
    <mergeCell ref="E33:K34"/>
    <mergeCell ref="L33:O33"/>
    <mergeCell ref="P33:Q34"/>
    <mergeCell ref="R33:U33"/>
    <mergeCell ref="V33:AA33"/>
    <mergeCell ref="AB33:AE33"/>
    <mergeCell ref="L34:O34"/>
    <mergeCell ref="R34:U34"/>
    <mergeCell ref="V34:AA34"/>
    <mergeCell ref="AB34:AE34"/>
    <mergeCell ref="A35:A36"/>
    <mergeCell ref="B35:D36"/>
    <mergeCell ref="E35:K36"/>
    <mergeCell ref="L35:O35"/>
    <mergeCell ref="P35:Q36"/>
    <mergeCell ref="R35:U35"/>
    <mergeCell ref="V35:AA35"/>
    <mergeCell ref="AB35:AE35"/>
    <mergeCell ref="L36:O36"/>
    <mergeCell ref="R36:U36"/>
    <mergeCell ref="V36:AA36"/>
    <mergeCell ref="AB36:AE36"/>
  </mergeCells>
  <phoneticPr fontId="5"/>
  <pageMargins left="0.7" right="0.7" top="0.75" bottom="0.75" header="0.3" footer="0.3"/>
  <pageSetup paperSize="9" scale="76" fitToHeight="0"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2F5D1-5BEB-4245-A27A-6425DEBC1504}">
  <dimension ref="A1:AE34"/>
  <sheetViews>
    <sheetView showGridLines="0" showZeros="0" tabSelected="1" zoomScale="85" zoomScaleNormal="85" workbookViewId="0">
      <selection activeCell="W5" sqref="W5:AE5"/>
    </sheetView>
  </sheetViews>
  <sheetFormatPr defaultRowHeight="13.2"/>
  <cols>
    <col min="1" max="31" width="3.77734375" customWidth="1"/>
  </cols>
  <sheetData>
    <row r="1" spans="1:31" ht="33.6" customHeight="1">
      <c r="A1" s="97" t="s">
        <v>17</v>
      </c>
      <c r="B1" s="98"/>
      <c r="C1" s="98"/>
      <c r="D1" s="98"/>
      <c r="E1" s="98"/>
      <c r="F1" s="98"/>
      <c r="G1" s="98"/>
      <c r="H1" s="98"/>
      <c r="I1" s="98"/>
      <c r="J1" s="98"/>
      <c r="K1" s="98"/>
      <c r="L1" s="98"/>
      <c r="M1" s="98"/>
      <c r="N1" s="98"/>
      <c r="O1" s="98"/>
      <c r="P1" s="98"/>
      <c r="Q1" s="98"/>
      <c r="R1" s="98"/>
      <c r="S1" s="98"/>
      <c r="T1" s="98"/>
      <c r="U1" s="98"/>
      <c r="V1" s="98"/>
      <c r="W1" s="98"/>
      <c r="X1" s="98"/>
      <c r="Y1" s="98"/>
      <c r="Z1" s="98"/>
      <c r="AA1" s="98"/>
      <c r="AB1" s="98"/>
      <c r="AC1" s="98"/>
      <c r="AD1" s="98"/>
      <c r="AE1" s="99"/>
    </row>
    <row r="2" spans="1:31" ht="33.6" customHeight="1">
      <c r="A2" s="3"/>
      <c r="B2" s="4"/>
      <c r="C2" s="4"/>
      <c r="D2" s="4"/>
      <c r="E2" s="4"/>
      <c r="F2" s="4"/>
      <c r="G2" s="4"/>
      <c r="H2" s="4"/>
      <c r="I2" s="4"/>
      <c r="J2" s="4"/>
      <c r="K2" s="4"/>
      <c r="L2" s="4"/>
      <c r="M2" s="4"/>
      <c r="N2" s="4"/>
      <c r="O2" s="4"/>
      <c r="P2" s="4"/>
      <c r="Q2" s="4"/>
      <c r="R2" s="4"/>
      <c r="S2" s="4"/>
      <c r="T2" s="4"/>
      <c r="U2" s="4"/>
      <c r="V2" s="100" t="s">
        <v>18</v>
      </c>
      <c r="W2" s="100"/>
      <c r="X2" s="100"/>
      <c r="Y2" s="100"/>
      <c r="Z2" s="139"/>
      <c r="AA2" s="139"/>
      <c r="AB2" s="139"/>
      <c r="AC2" s="139"/>
      <c r="AD2" s="139"/>
      <c r="AE2" s="140"/>
    </row>
    <row r="3" spans="1:31" ht="33.6" customHeight="1">
      <c r="A3" s="141" t="s">
        <v>3</v>
      </c>
      <c r="B3" s="107"/>
      <c r="C3" s="107"/>
      <c r="D3" s="107"/>
      <c r="E3" s="107"/>
      <c r="F3" s="107"/>
      <c r="G3" s="107"/>
      <c r="H3" s="107"/>
      <c r="I3" s="107"/>
      <c r="J3" s="107"/>
      <c r="K3" s="107"/>
      <c r="L3" s="142" t="s">
        <v>19</v>
      </c>
      <c r="M3" s="142"/>
      <c r="N3" s="142"/>
      <c r="O3" s="1"/>
      <c r="P3" s="1"/>
      <c r="Q3" s="1"/>
      <c r="R3" s="1"/>
      <c r="S3" s="1"/>
      <c r="T3" s="1"/>
      <c r="U3" s="1"/>
      <c r="V3" s="1"/>
      <c r="W3" s="1"/>
      <c r="X3" s="1"/>
      <c r="Y3" s="1"/>
      <c r="Z3" s="1"/>
      <c r="AA3" s="1"/>
      <c r="AB3" s="1"/>
      <c r="AC3" s="1"/>
      <c r="AD3" s="1"/>
      <c r="AE3" s="5"/>
    </row>
    <row r="4" spans="1:31" ht="33.6" customHeight="1">
      <c r="A4" s="6"/>
      <c r="B4" s="1"/>
      <c r="C4" s="1"/>
      <c r="D4" s="1"/>
      <c r="E4" s="1"/>
      <c r="F4" s="1"/>
      <c r="G4" s="1"/>
      <c r="H4" s="1"/>
      <c r="I4" s="1"/>
      <c r="J4" s="1"/>
      <c r="K4" s="1"/>
      <c r="L4" s="1"/>
      <c r="M4" s="1"/>
      <c r="N4" s="1"/>
      <c r="O4" s="1"/>
      <c r="P4" s="1"/>
      <c r="Q4" s="1"/>
      <c r="R4" s="1"/>
      <c r="S4" s="142" t="s">
        <v>20</v>
      </c>
      <c r="T4" s="142"/>
      <c r="U4" s="142"/>
      <c r="V4" s="142"/>
      <c r="W4" s="107" t="s">
        <v>44</v>
      </c>
      <c r="X4" s="107"/>
      <c r="Y4" s="107"/>
      <c r="Z4" s="107"/>
      <c r="AA4" s="107"/>
      <c r="AB4" s="107"/>
      <c r="AC4" s="107"/>
      <c r="AD4" s="107"/>
      <c r="AE4" s="148"/>
    </row>
    <row r="5" spans="1:31" ht="33.6" customHeight="1">
      <c r="A5" s="6"/>
      <c r="B5" s="1"/>
      <c r="C5" s="1"/>
      <c r="D5" s="1"/>
      <c r="E5" s="1"/>
      <c r="F5" s="1"/>
      <c r="G5" s="1"/>
      <c r="H5" s="1"/>
      <c r="I5" s="1"/>
      <c r="J5" s="1"/>
      <c r="K5" s="1"/>
      <c r="L5" s="1"/>
      <c r="M5" s="1"/>
      <c r="N5" s="1"/>
      <c r="O5" s="1"/>
      <c r="P5" s="1"/>
      <c r="Q5" s="1"/>
      <c r="R5" s="1"/>
      <c r="S5" s="142" t="s">
        <v>21</v>
      </c>
      <c r="T5" s="142"/>
      <c r="U5" s="142"/>
      <c r="V5" s="142"/>
      <c r="W5" s="149"/>
      <c r="X5" s="149"/>
      <c r="Y5" s="149"/>
      <c r="Z5" s="149"/>
      <c r="AA5" s="149"/>
      <c r="AB5" s="149"/>
      <c r="AC5" s="149"/>
      <c r="AD5" s="149"/>
      <c r="AE5" s="150"/>
    </row>
    <row r="6" spans="1:31" ht="33.6" customHeight="1">
      <c r="A6" s="6"/>
      <c r="B6" s="1"/>
      <c r="C6" s="1"/>
      <c r="D6" s="1"/>
      <c r="E6" s="1"/>
      <c r="F6" s="1"/>
      <c r="G6" s="1"/>
      <c r="H6" s="1"/>
      <c r="I6" s="1"/>
      <c r="J6" s="1"/>
      <c r="K6" s="1"/>
      <c r="L6" s="1"/>
      <c r="M6" s="1"/>
      <c r="N6" s="1"/>
      <c r="O6" s="1"/>
      <c r="P6" s="1"/>
      <c r="Q6" s="1"/>
      <c r="R6" s="1"/>
      <c r="S6" s="1"/>
      <c r="T6" s="1"/>
      <c r="U6" s="1"/>
      <c r="V6" s="1"/>
      <c r="W6" s="1"/>
      <c r="X6" s="1"/>
      <c r="Y6" s="1"/>
      <c r="Z6" s="1"/>
      <c r="AA6" s="1"/>
      <c r="AB6" s="1"/>
      <c r="AC6" s="1"/>
      <c r="AD6" s="1"/>
      <c r="AE6" s="5"/>
    </row>
    <row r="7" spans="1:31" ht="33.6" customHeight="1">
      <c r="A7" s="6"/>
      <c r="B7" s="129" t="s">
        <v>22</v>
      </c>
      <c r="C7" s="129"/>
      <c r="D7" s="129"/>
      <c r="E7" s="129"/>
      <c r="F7" s="129"/>
      <c r="G7" s="129"/>
      <c r="H7" s="129"/>
      <c r="I7" s="129"/>
      <c r="J7" s="129"/>
      <c r="K7" s="129"/>
      <c r="L7" s="129"/>
      <c r="M7" s="129"/>
      <c r="N7" s="129"/>
      <c r="O7" s="129"/>
      <c r="P7" s="129"/>
      <c r="Q7" s="129"/>
      <c r="R7" s="129"/>
      <c r="S7" s="129"/>
      <c r="T7" s="129"/>
      <c r="U7" s="129"/>
      <c r="V7" s="129"/>
      <c r="W7" s="129"/>
      <c r="X7" s="129"/>
      <c r="Y7" s="129"/>
      <c r="Z7" s="129"/>
      <c r="AA7" s="129"/>
      <c r="AB7" s="129"/>
      <c r="AC7" s="129"/>
      <c r="AD7" s="129"/>
      <c r="AE7" s="5"/>
    </row>
    <row r="8" spans="1:31" ht="33.6" customHeight="1">
      <c r="A8" s="7"/>
      <c r="B8" s="8"/>
      <c r="C8" s="8"/>
      <c r="D8" s="8"/>
      <c r="E8" s="8"/>
      <c r="F8" s="8"/>
      <c r="G8" s="8"/>
      <c r="H8" s="8"/>
      <c r="I8" s="8"/>
      <c r="J8" s="8"/>
      <c r="K8" s="8"/>
      <c r="L8" s="8"/>
      <c r="M8" s="8"/>
      <c r="N8" s="8"/>
      <c r="O8" s="8"/>
      <c r="P8" s="8"/>
      <c r="Q8" s="8"/>
      <c r="R8" s="8"/>
      <c r="S8" s="8"/>
      <c r="T8" s="8"/>
      <c r="U8" s="8"/>
      <c r="V8" s="8"/>
      <c r="W8" s="8"/>
      <c r="X8" s="8"/>
      <c r="Y8" s="8"/>
      <c r="Z8" s="8"/>
      <c r="AA8" s="8"/>
      <c r="AB8" s="8"/>
      <c r="AC8" s="8"/>
      <c r="AD8" s="8"/>
      <c r="AE8" s="9"/>
    </row>
    <row r="9" spans="1:31" ht="15.6" customHeight="1">
      <c r="A9" s="143" t="s">
        <v>8</v>
      </c>
      <c r="B9" s="130" t="s">
        <v>9</v>
      </c>
      <c r="C9" s="131"/>
      <c r="D9" s="132"/>
      <c r="E9" s="130" t="s">
        <v>10</v>
      </c>
      <c r="F9" s="131"/>
      <c r="G9" s="131"/>
      <c r="H9" s="131"/>
      <c r="I9" s="131"/>
      <c r="J9" s="131"/>
      <c r="K9" s="132"/>
      <c r="L9" s="145" t="s">
        <v>11</v>
      </c>
      <c r="M9" s="146"/>
      <c r="N9" s="146"/>
      <c r="O9" s="147"/>
      <c r="P9" s="130" t="s">
        <v>12</v>
      </c>
      <c r="Q9" s="132"/>
      <c r="R9" s="151" t="s">
        <v>23</v>
      </c>
      <c r="S9" s="151"/>
      <c r="T9" s="151"/>
      <c r="U9" s="151"/>
      <c r="V9" s="151" t="s">
        <v>13</v>
      </c>
      <c r="W9" s="151"/>
      <c r="X9" s="151"/>
      <c r="Y9" s="151"/>
      <c r="Z9" s="151"/>
      <c r="AA9" s="151"/>
      <c r="AB9" s="151" t="s">
        <v>14</v>
      </c>
      <c r="AC9" s="151"/>
      <c r="AD9" s="151"/>
      <c r="AE9" s="152"/>
    </row>
    <row r="10" spans="1:31" ht="15.6" customHeight="1">
      <c r="A10" s="144"/>
      <c r="B10" s="133"/>
      <c r="C10" s="134"/>
      <c r="D10" s="135"/>
      <c r="E10" s="133"/>
      <c r="F10" s="134"/>
      <c r="G10" s="134"/>
      <c r="H10" s="134"/>
      <c r="I10" s="134"/>
      <c r="J10" s="134"/>
      <c r="K10" s="135"/>
      <c r="L10" s="153" t="s">
        <v>15</v>
      </c>
      <c r="M10" s="154"/>
      <c r="N10" s="154"/>
      <c r="O10" s="155"/>
      <c r="P10" s="133"/>
      <c r="Q10" s="135"/>
      <c r="R10" s="156" t="s">
        <v>24</v>
      </c>
      <c r="S10" s="156"/>
      <c r="T10" s="156"/>
      <c r="U10" s="156"/>
      <c r="V10" s="156" t="s">
        <v>25</v>
      </c>
      <c r="W10" s="156"/>
      <c r="X10" s="156"/>
      <c r="Y10" s="156"/>
      <c r="Z10" s="156"/>
      <c r="AA10" s="156"/>
      <c r="AB10" s="156" t="s">
        <v>16</v>
      </c>
      <c r="AC10" s="156"/>
      <c r="AD10" s="156"/>
      <c r="AE10" s="157"/>
    </row>
    <row r="11" spans="1:31" ht="24.6" customHeight="1">
      <c r="A11" s="45">
        <v>1</v>
      </c>
      <c r="B11" s="108" t="str">
        <f>IF(発注依頼票!A2="","",発注依頼票!A2)</f>
        <v/>
      </c>
      <c r="C11" s="108"/>
      <c r="D11" s="108"/>
      <c r="E11" s="110" t="str">
        <f>IF(発注依頼票!E2="","",発注依頼票!E2)</f>
        <v/>
      </c>
      <c r="F11" s="111"/>
      <c r="G11" s="111"/>
      <c r="H11" s="111"/>
      <c r="I11" s="111"/>
      <c r="J11" s="111"/>
      <c r="K11" s="112"/>
      <c r="L11" s="108" t="str">
        <f>IF(発注依頼票!G2="","",発注依頼票!G2)</f>
        <v/>
      </c>
      <c r="M11" s="108"/>
      <c r="N11" s="108"/>
      <c r="O11" s="108"/>
      <c r="P11" s="56">
        <f>IF(発注依頼票!J2="","",発注依頼票!J2)</f>
        <v>0</v>
      </c>
      <c r="Q11" s="56"/>
      <c r="R11" s="116"/>
      <c r="S11" s="116"/>
      <c r="T11" s="116"/>
      <c r="U11" s="116"/>
      <c r="V11" s="108" t="str">
        <f>IF(発注書!V17="","",発注書!V17)</f>
        <v>納品場所/発注者</v>
      </c>
      <c r="W11" s="108"/>
      <c r="X11" s="108"/>
      <c r="Y11" s="108"/>
      <c r="Z11" s="108"/>
      <c r="AA11" s="108"/>
      <c r="AB11" s="108" t="str">
        <f>IF(発注書!AB17="","",発注書!AB17)</f>
        <v/>
      </c>
      <c r="AC11" s="108"/>
      <c r="AD11" s="108"/>
      <c r="AE11" s="117"/>
    </row>
    <row r="12" spans="1:31" ht="24.6" customHeight="1">
      <c r="A12" s="46"/>
      <c r="B12" s="109"/>
      <c r="C12" s="109"/>
      <c r="D12" s="109"/>
      <c r="E12" s="113"/>
      <c r="F12" s="114"/>
      <c r="G12" s="114"/>
      <c r="H12" s="114"/>
      <c r="I12" s="114"/>
      <c r="J12" s="114"/>
      <c r="K12" s="115"/>
      <c r="L12" s="136" t="str">
        <f>IF(発注依頼票!H2="","",発注依頼票!H2)</f>
        <v/>
      </c>
      <c r="M12" s="136"/>
      <c r="N12" s="136"/>
      <c r="O12" s="136"/>
      <c r="P12" s="57"/>
      <c r="Q12" s="57"/>
      <c r="R12" s="118">
        <f>P11*R11</f>
        <v>0</v>
      </c>
      <c r="S12" s="118"/>
      <c r="T12" s="118"/>
      <c r="U12" s="118"/>
      <c r="V12" s="119"/>
      <c r="W12" s="119"/>
      <c r="X12" s="119"/>
      <c r="Y12" s="119"/>
      <c r="Z12" s="119"/>
      <c r="AA12" s="119"/>
      <c r="AB12" s="137"/>
      <c r="AC12" s="137"/>
      <c r="AD12" s="137"/>
      <c r="AE12" s="138"/>
    </row>
    <row r="13" spans="1:31" ht="24.6" customHeight="1">
      <c r="A13" s="45">
        <v>2</v>
      </c>
      <c r="B13" s="108" t="str">
        <f>IF(発注依頼票!A3="","",発注依頼票!A3)</f>
        <v/>
      </c>
      <c r="C13" s="108"/>
      <c r="D13" s="108"/>
      <c r="E13" s="110" t="str">
        <f>IF(発注依頼票!E3="","",発注依頼票!E3)</f>
        <v/>
      </c>
      <c r="F13" s="111"/>
      <c r="G13" s="111"/>
      <c r="H13" s="111"/>
      <c r="I13" s="111"/>
      <c r="J13" s="111"/>
      <c r="K13" s="112"/>
      <c r="L13" s="108" t="str">
        <f>IF(発注依頼票!G3="","",発注依頼票!G3)</f>
        <v/>
      </c>
      <c r="M13" s="108"/>
      <c r="N13" s="108"/>
      <c r="O13" s="108"/>
      <c r="P13" s="56">
        <f>IF(発注依頼票!J3="","",発注依頼票!J3)</f>
        <v>0</v>
      </c>
      <c r="Q13" s="56"/>
      <c r="R13" s="116"/>
      <c r="S13" s="116"/>
      <c r="T13" s="116"/>
      <c r="U13" s="116"/>
      <c r="V13" s="108" t="str">
        <f>IF(発注書!V19="","",発注書!V19)</f>
        <v/>
      </c>
      <c r="W13" s="108"/>
      <c r="X13" s="108"/>
      <c r="Y13" s="108"/>
      <c r="Z13" s="108"/>
      <c r="AA13" s="108"/>
      <c r="AB13" s="108" t="str">
        <f>IF(発注書!AB19="","",発注書!AB19)</f>
        <v/>
      </c>
      <c r="AC13" s="108"/>
      <c r="AD13" s="108"/>
      <c r="AE13" s="117"/>
    </row>
    <row r="14" spans="1:31" ht="24.6" customHeight="1">
      <c r="A14" s="46"/>
      <c r="B14" s="109"/>
      <c r="C14" s="109"/>
      <c r="D14" s="109"/>
      <c r="E14" s="113"/>
      <c r="F14" s="114"/>
      <c r="G14" s="114"/>
      <c r="H14" s="114"/>
      <c r="I14" s="114"/>
      <c r="J14" s="114"/>
      <c r="K14" s="115"/>
      <c r="L14" s="136" t="str">
        <f>IF(発注依頼票!H3="","",発注依頼票!H3)</f>
        <v/>
      </c>
      <c r="M14" s="136"/>
      <c r="N14" s="136"/>
      <c r="O14" s="136"/>
      <c r="P14" s="57"/>
      <c r="Q14" s="57"/>
      <c r="R14" s="118">
        <f>P13*R13</f>
        <v>0</v>
      </c>
      <c r="S14" s="118"/>
      <c r="T14" s="118"/>
      <c r="U14" s="118"/>
      <c r="V14" s="119"/>
      <c r="W14" s="119"/>
      <c r="X14" s="119"/>
      <c r="Y14" s="119"/>
      <c r="Z14" s="119"/>
      <c r="AA14" s="119"/>
      <c r="AB14" s="120"/>
      <c r="AC14" s="120"/>
      <c r="AD14" s="120"/>
      <c r="AE14" s="121"/>
    </row>
    <row r="15" spans="1:31" ht="24.6" customHeight="1">
      <c r="A15" s="45">
        <v>3</v>
      </c>
      <c r="B15" s="108" t="str">
        <f>IF(発注依頼票!A4="","",発注依頼票!A4)</f>
        <v/>
      </c>
      <c r="C15" s="108"/>
      <c r="D15" s="108"/>
      <c r="E15" s="110" t="str">
        <f>IF(発注依頼票!E4="","",発注依頼票!E4)</f>
        <v/>
      </c>
      <c r="F15" s="111"/>
      <c r="G15" s="111"/>
      <c r="H15" s="111"/>
      <c r="I15" s="111"/>
      <c r="J15" s="111"/>
      <c r="K15" s="112"/>
      <c r="L15" s="108" t="str">
        <f>IF(発注依頼票!G4="","",発注依頼票!G4)</f>
        <v/>
      </c>
      <c r="M15" s="108"/>
      <c r="N15" s="108"/>
      <c r="O15" s="108"/>
      <c r="P15" s="56">
        <f>IF(発注依頼票!J4="","",発注依頼票!J4)</f>
        <v>0</v>
      </c>
      <c r="Q15" s="56"/>
      <c r="R15" s="116"/>
      <c r="S15" s="116"/>
      <c r="T15" s="116"/>
      <c r="U15" s="116"/>
      <c r="V15" s="108" t="str">
        <f>IF(発注書!V21="","",発注書!V21)</f>
        <v/>
      </c>
      <c r="W15" s="108"/>
      <c r="X15" s="108"/>
      <c r="Y15" s="108"/>
      <c r="Z15" s="108"/>
      <c r="AA15" s="108"/>
      <c r="AB15" s="108" t="str">
        <f>IF(発注書!AB21="","",発注書!AB21)</f>
        <v/>
      </c>
      <c r="AC15" s="108"/>
      <c r="AD15" s="108"/>
      <c r="AE15" s="117"/>
    </row>
    <row r="16" spans="1:31" ht="24.6" customHeight="1">
      <c r="A16" s="46"/>
      <c r="B16" s="109"/>
      <c r="C16" s="109"/>
      <c r="D16" s="109"/>
      <c r="E16" s="113"/>
      <c r="F16" s="114"/>
      <c r="G16" s="114"/>
      <c r="H16" s="114"/>
      <c r="I16" s="114"/>
      <c r="J16" s="114"/>
      <c r="K16" s="115"/>
      <c r="L16" s="109" t="str">
        <f>IF(発注依頼票!H4="","",発注依頼票!H4)</f>
        <v/>
      </c>
      <c r="M16" s="109"/>
      <c r="N16" s="109"/>
      <c r="O16" s="109"/>
      <c r="P16" s="57"/>
      <c r="Q16" s="57"/>
      <c r="R16" s="118">
        <f>P15*R15</f>
        <v>0</v>
      </c>
      <c r="S16" s="118"/>
      <c r="T16" s="118"/>
      <c r="U16" s="118"/>
      <c r="V16" s="119"/>
      <c r="W16" s="119"/>
      <c r="X16" s="119"/>
      <c r="Y16" s="119"/>
      <c r="Z16" s="119"/>
      <c r="AA16" s="119"/>
      <c r="AB16" s="120"/>
      <c r="AC16" s="120"/>
      <c r="AD16" s="120"/>
      <c r="AE16" s="121"/>
    </row>
    <row r="17" spans="1:31" ht="24.6" customHeight="1">
      <c r="A17" s="45">
        <v>4</v>
      </c>
      <c r="B17" s="108" t="str">
        <f>IF(発注依頼票!A5="","",発注依頼票!A5)</f>
        <v/>
      </c>
      <c r="C17" s="108"/>
      <c r="D17" s="108"/>
      <c r="E17" s="110" t="str">
        <f>IF(発注依頼票!E5="","",発注依頼票!E5)</f>
        <v/>
      </c>
      <c r="F17" s="111"/>
      <c r="G17" s="111"/>
      <c r="H17" s="111"/>
      <c r="I17" s="111"/>
      <c r="J17" s="111"/>
      <c r="K17" s="112"/>
      <c r="L17" s="108" t="str">
        <f>IF(発注依頼票!G5="","",発注依頼票!G5)</f>
        <v/>
      </c>
      <c r="M17" s="108"/>
      <c r="N17" s="108"/>
      <c r="O17" s="108"/>
      <c r="P17" s="56">
        <f>IF(発注依頼票!J5="","",発注依頼票!J5)</f>
        <v>0</v>
      </c>
      <c r="Q17" s="56"/>
      <c r="R17" s="116"/>
      <c r="S17" s="116"/>
      <c r="T17" s="116"/>
      <c r="U17" s="116"/>
      <c r="V17" s="108" t="str">
        <f>IF(発注書!V23="","",発注書!V23)</f>
        <v/>
      </c>
      <c r="W17" s="108"/>
      <c r="X17" s="108"/>
      <c r="Y17" s="108"/>
      <c r="Z17" s="108"/>
      <c r="AA17" s="108"/>
      <c r="AB17" s="108" t="str">
        <f>IF(発注書!AB23="","",発注書!AB23)</f>
        <v/>
      </c>
      <c r="AC17" s="108"/>
      <c r="AD17" s="108"/>
      <c r="AE17" s="117"/>
    </row>
    <row r="18" spans="1:31" ht="24.6" customHeight="1">
      <c r="A18" s="46"/>
      <c r="B18" s="109"/>
      <c r="C18" s="109"/>
      <c r="D18" s="109"/>
      <c r="E18" s="113"/>
      <c r="F18" s="114"/>
      <c r="G18" s="114"/>
      <c r="H18" s="114"/>
      <c r="I18" s="114"/>
      <c r="J18" s="114"/>
      <c r="K18" s="115"/>
      <c r="L18" s="109" t="str">
        <f>IF(発注依頼票!H5="","",発注依頼票!H5)</f>
        <v/>
      </c>
      <c r="M18" s="109"/>
      <c r="N18" s="109"/>
      <c r="O18" s="109"/>
      <c r="P18" s="57"/>
      <c r="Q18" s="57"/>
      <c r="R18" s="118">
        <f>P17*R17</f>
        <v>0</v>
      </c>
      <c r="S18" s="118"/>
      <c r="T18" s="118"/>
      <c r="U18" s="118"/>
      <c r="V18" s="119"/>
      <c r="W18" s="119"/>
      <c r="X18" s="119"/>
      <c r="Y18" s="119"/>
      <c r="Z18" s="119"/>
      <c r="AA18" s="119"/>
      <c r="AB18" s="120"/>
      <c r="AC18" s="120"/>
      <c r="AD18" s="120"/>
      <c r="AE18" s="121"/>
    </row>
    <row r="19" spans="1:31" ht="24.6" customHeight="1">
      <c r="A19" s="45">
        <v>5</v>
      </c>
      <c r="B19" s="108" t="str">
        <f>IF(発注依頼票!A6="","",発注依頼票!A6)</f>
        <v/>
      </c>
      <c r="C19" s="108"/>
      <c r="D19" s="108"/>
      <c r="E19" s="110" t="str">
        <f>IF(発注依頼票!E6="","",発注依頼票!E6)</f>
        <v/>
      </c>
      <c r="F19" s="111"/>
      <c r="G19" s="111"/>
      <c r="H19" s="111"/>
      <c r="I19" s="111"/>
      <c r="J19" s="111"/>
      <c r="K19" s="112"/>
      <c r="L19" s="108" t="str">
        <f>IF(発注依頼票!G6="","",発注依頼票!G6)</f>
        <v/>
      </c>
      <c r="M19" s="108"/>
      <c r="N19" s="108"/>
      <c r="O19" s="108"/>
      <c r="P19" s="56">
        <f>IF(発注依頼票!J6="","",発注依頼票!J6)</f>
        <v>0</v>
      </c>
      <c r="Q19" s="56"/>
      <c r="R19" s="116"/>
      <c r="S19" s="116"/>
      <c r="T19" s="116"/>
      <c r="U19" s="116"/>
      <c r="V19" s="108" t="str">
        <f>IF(発注書!V25="","",発注書!V25)</f>
        <v/>
      </c>
      <c r="W19" s="108"/>
      <c r="X19" s="108"/>
      <c r="Y19" s="108"/>
      <c r="Z19" s="108"/>
      <c r="AA19" s="108"/>
      <c r="AB19" s="108" t="str">
        <f>IF(発注書!AB25="","",発注書!AB25)</f>
        <v/>
      </c>
      <c r="AC19" s="108"/>
      <c r="AD19" s="108"/>
      <c r="AE19" s="117"/>
    </row>
    <row r="20" spans="1:31" ht="24.6" customHeight="1">
      <c r="A20" s="46"/>
      <c r="B20" s="109"/>
      <c r="C20" s="109"/>
      <c r="D20" s="109"/>
      <c r="E20" s="113"/>
      <c r="F20" s="114"/>
      <c r="G20" s="114"/>
      <c r="H20" s="114"/>
      <c r="I20" s="114"/>
      <c r="J20" s="114"/>
      <c r="K20" s="115"/>
      <c r="L20" s="109" t="str">
        <f>IF(発注依頼票!H6="","",発注依頼票!H6)</f>
        <v/>
      </c>
      <c r="M20" s="109"/>
      <c r="N20" s="109"/>
      <c r="O20" s="109"/>
      <c r="P20" s="57"/>
      <c r="Q20" s="57"/>
      <c r="R20" s="118">
        <f>P19*R19</f>
        <v>0</v>
      </c>
      <c r="S20" s="118"/>
      <c r="T20" s="118"/>
      <c r="U20" s="118"/>
      <c r="V20" s="119"/>
      <c r="W20" s="119"/>
      <c r="X20" s="119"/>
      <c r="Y20" s="119"/>
      <c r="Z20" s="119"/>
      <c r="AA20" s="119"/>
      <c r="AB20" s="120"/>
      <c r="AC20" s="120"/>
      <c r="AD20" s="120"/>
      <c r="AE20" s="121"/>
    </row>
    <row r="21" spans="1:31" ht="24.6" customHeight="1">
      <c r="A21" s="45">
        <v>6</v>
      </c>
      <c r="B21" s="108" t="str">
        <f>IF(発注依頼票!A7="","",発注依頼票!A7)</f>
        <v/>
      </c>
      <c r="C21" s="108"/>
      <c r="D21" s="108"/>
      <c r="E21" s="110" t="str">
        <f>IF(発注依頼票!E7="","",発注依頼票!E7)</f>
        <v/>
      </c>
      <c r="F21" s="111"/>
      <c r="G21" s="111"/>
      <c r="H21" s="111"/>
      <c r="I21" s="111"/>
      <c r="J21" s="111"/>
      <c r="K21" s="112"/>
      <c r="L21" s="108" t="str">
        <f>IF(発注依頼票!G7="","",発注依頼票!G7)</f>
        <v/>
      </c>
      <c r="M21" s="108"/>
      <c r="N21" s="108"/>
      <c r="O21" s="108"/>
      <c r="P21" s="56">
        <f>IF(発注依頼票!J7="","",発注依頼票!J7)</f>
        <v>0</v>
      </c>
      <c r="Q21" s="56"/>
      <c r="R21" s="116"/>
      <c r="S21" s="116"/>
      <c r="T21" s="116"/>
      <c r="U21" s="116"/>
      <c r="V21" s="108" t="str">
        <f>IF(発注書!V27="","",発注書!V27)</f>
        <v/>
      </c>
      <c r="W21" s="108"/>
      <c r="X21" s="108"/>
      <c r="Y21" s="108"/>
      <c r="Z21" s="108"/>
      <c r="AA21" s="108"/>
      <c r="AB21" s="108" t="str">
        <f>IF(発注書!AB27="","",発注書!AB27)</f>
        <v/>
      </c>
      <c r="AC21" s="108"/>
      <c r="AD21" s="108"/>
      <c r="AE21" s="117"/>
    </row>
    <row r="22" spans="1:31" ht="24.6" customHeight="1">
      <c r="A22" s="46"/>
      <c r="B22" s="109"/>
      <c r="C22" s="109"/>
      <c r="D22" s="109"/>
      <c r="E22" s="113"/>
      <c r="F22" s="114"/>
      <c r="G22" s="114"/>
      <c r="H22" s="114"/>
      <c r="I22" s="114"/>
      <c r="J22" s="114"/>
      <c r="K22" s="115"/>
      <c r="L22" s="109" t="str">
        <f>IF(発注依頼票!H7="","",発注依頼票!H7)</f>
        <v/>
      </c>
      <c r="M22" s="109"/>
      <c r="N22" s="109"/>
      <c r="O22" s="109"/>
      <c r="P22" s="57"/>
      <c r="Q22" s="57"/>
      <c r="R22" s="118">
        <f>P21*R21</f>
        <v>0</v>
      </c>
      <c r="S22" s="118"/>
      <c r="T22" s="118"/>
      <c r="U22" s="118"/>
      <c r="V22" s="119"/>
      <c r="W22" s="119"/>
      <c r="X22" s="119"/>
      <c r="Y22" s="119"/>
      <c r="Z22" s="119"/>
      <c r="AA22" s="119"/>
      <c r="AB22" s="120"/>
      <c r="AC22" s="120"/>
      <c r="AD22" s="120"/>
      <c r="AE22" s="121"/>
    </row>
    <row r="23" spans="1:31" ht="24.6" customHeight="1">
      <c r="A23" s="45">
        <v>7</v>
      </c>
      <c r="B23" s="108" t="str">
        <f>IF(発注依頼票!A8="","",発注依頼票!A8)</f>
        <v/>
      </c>
      <c r="C23" s="108"/>
      <c r="D23" s="108"/>
      <c r="E23" s="110" t="str">
        <f>IF(発注依頼票!E8="","",発注依頼票!E8)</f>
        <v/>
      </c>
      <c r="F23" s="111"/>
      <c r="G23" s="111"/>
      <c r="H23" s="111"/>
      <c r="I23" s="111"/>
      <c r="J23" s="111"/>
      <c r="K23" s="112"/>
      <c r="L23" s="108" t="str">
        <f>IF(発注依頼票!G8="","",発注依頼票!G8)</f>
        <v/>
      </c>
      <c r="M23" s="108"/>
      <c r="N23" s="108"/>
      <c r="O23" s="108"/>
      <c r="P23" s="56">
        <f>IF(発注依頼票!J8="","",発注依頼票!J8)</f>
        <v>0</v>
      </c>
      <c r="Q23" s="56"/>
      <c r="R23" s="116"/>
      <c r="S23" s="116"/>
      <c r="T23" s="116"/>
      <c r="U23" s="116"/>
      <c r="V23" s="108" t="str">
        <f>IF(発注書!V29="","",発注書!V29)</f>
        <v/>
      </c>
      <c r="W23" s="108"/>
      <c r="X23" s="108"/>
      <c r="Y23" s="108"/>
      <c r="Z23" s="108"/>
      <c r="AA23" s="108"/>
      <c r="AB23" s="108" t="str">
        <f>IF(発注書!AB29="","",発注書!AB29)</f>
        <v/>
      </c>
      <c r="AC23" s="108"/>
      <c r="AD23" s="108"/>
      <c r="AE23" s="117"/>
    </row>
    <row r="24" spans="1:31" ht="24.6" customHeight="1">
      <c r="A24" s="46"/>
      <c r="B24" s="109"/>
      <c r="C24" s="109"/>
      <c r="D24" s="109"/>
      <c r="E24" s="113"/>
      <c r="F24" s="114"/>
      <c r="G24" s="114"/>
      <c r="H24" s="114"/>
      <c r="I24" s="114"/>
      <c r="J24" s="114"/>
      <c r="K24" s="115"/>
      <c r="L24" s="109" t="str">
        <f>IF(発注依頼票!H8="","",発注依頼票!H8)</f>
        <v/>
      </c>
      <c r="M24" s="109"/>
      <c r="N24" s="109"/>
      <c r="O24" s="109"/>
      <c r="P24" s="57"/>
      <c r="Q24" s="57"/>
      <c r="R24" s="118">
        <f>P23*R23</f>
        <v>0</v>
      </c>
      <c r="S24" s="118"/>
      <c r="T24" s="118"/>
      <c r="U24" s="118"/>
      <c r="V24" s="119"/>
      <c r="W24" s="119"/>
      <c r="X24" s="119"/>
      <c r="Y24" s="119"/>
      <c r="Z24" s="119"/>
      <c r="AA24" s="119"/>
      <c r="AB24" s="120"/>
      <c r="AC24" s="120"/>
      <c r="AD24" s="120"/>
      <c r="AE24" s="121"/>
    </row>
    <row r="25" spans="1:31" ht="24.6" customHeight="1">
      <c r="A25" s="45">
        <v>8</v>
      </c>
      <c r="B25" s="108" t="str">
        <f>IF(発注依頼票!A9="","",発注依頼票!A9)</f>
        <v/>
      </c>
      <c r="C25" s="108"/>
      <c r="D25" s="108"/>
      <c r="E25" s="110" t="str">
        <f>IF(発注依頼票!E9="","",発注依頼票!E9)</f>
        <v/>
      </c>
      <c r="F25" s="111"/>
      <c r="G25" s="111"/>
      <c r="H25" s="111"/>
      <c r="I25" s="111"/>
      <c r="J25" s="111"/>
      <c r="K25" s="112"/>
      <c r="L25" s="108" t="str">
        <f>IF(発注依頼票!G9="","",発注依頼票!G9)</f>
        <v/>
      </c>
      <c r="M25" s="108"/>
      <c r="N25" s="108"/>
      <c r="O25" s="108"/>
      <c r="P25" s="56">
        <f>IF(発注依頼票!J9="","",発注依頼票!J9)</f>
        <v>0</v>
      </c>
      <c r="Q25" s="56"/>
      <c r="R25" s="116"/>
      <c r="S25" s="116"/>
      <c r="T25" s="116"/>
      <c r="U25" s="116"/>
      <c r="V25" s="108" t="str">
        <f>IF(発注書!V31="","",発注書!V31)</f>
        <v/>
      </c>
      <c r="W25" s="108"/>
      <c r="X25" s="108"/>
      <c r="Y25" s="108"/>
      <c r="Z25" s="108"/>
      <c r="AA25" s="108"/>
      <c r="AB25" s="108" t="str">
        <f>IF(発注書!AB31="","",発注書!AB31)</f>
        <v/>
      </c>
      <c r="AC25" s="108"/>
      <c r="AD25" s="108"/>
      <c r="AE25" s="117"/>
    </row>
    <row r="26" spans="1:31" ht="24.6" customHeight="1">
      <c r="A26" s="46"/>
      <c r="B26" s="109"/>
      <c r="C26" s="109"/>
      <c r="D26" s="109"/>
      <c r="E26" s="113"/>
      <c r="F26" s="114"/>
      <c r="G26" s="114"/>
      <c r="H26" s="114"/>
      <c r="I26" s="114"/>
      <c r="J26" s="114"/>
      <c r="K26" s="115"/>
      <c r="L26" s="109" t="str">
        <f>IF(発注依頼票!H9="","",発注依頼票!H9)</f>
        <v/>
      </c>
      <c r="M26" s="109"/>
      <c r="N26" s="109"/>
      <c r="O26" s="109"/>
      <c r="P26" s="57"/>
      <c r="Q26" s="57"/>
      <c r="R26" s="118">
        <f>P25*R25</f>
        <v>0</v>
      </c>
      <c r="S26" s="118"/>
      <c r="T26" s="118"/>
      <c r="U26" s="118"/>
      <c r="V26" s="119"/>
      <c r="W26" s="119"/>
      <c r="X26" s="119"/>
      <c r="Y26" s="119"/>
      <c r="Z26" s="119"/>
      <c r="AA26" s="119"/>
      <c r="AB26" s="120"/>
      <c r="AC26" s="120"/>
      <c r="AD26" s="120"/>
      <c r="AE26" s="121"/>
    </row>
    <row r="27" spans="1:31" ht="24.6" customHeight="1">
      <c r="A27" s="45">
        <v>9</v>
      </c>
      <c r="B27" s="108" t="str">
        <f>IF(発注依頼票!A10="","",発注依頼票!A10)</f>
        <v/>
      </c>
      <c r="C27" s="108"/>
      <c r="D27" s="108"/>
      <c r="E27" s="110" t="str">
        <f>IF(発注依頼票!E10="","",発注依頼票!E10)</f>
        <v/>
      </c>
      <c r="F27" s="111"/>
      <c r="G27" s="111"/>
      <c r="H27" s="111"/>
      <c r="I27" s="111"/>
      <c r="J27" s="111"/>
      <c r="K27" s="112"/>
      <c r="L27" s="108" t="str">
        <f>IF(発注依頼票!G10="","",発注依頼票!G10)</f>
        <v/>
      </c>
      <c r="M27" s="108"/>
      <c r="N27" s="108"/>
      <c r="O27" s="108"/>
      <c r="P27" s="56">
        <f>IF(発注依頼票!J10="","",発注依頼票!J110)</f>
        <v>0</v>
      </c>
      <c r="Q27" s="56"/>
      <c r="R27" s="116"/>
      <c r="S27" s="116"/>
      <c r="T27" s="116"/>
      <c r="U27" s="116"/>
      <c r="V27" s="108" t="str">
        <f>IF(発注書!V33="","",発注書!V33)</f>
        <v/>
      </c>
      <c r="W27" s="108"/>
      <c r="X27" s="108"/>
      <c r="Y27" s="108"/>
      <c r="Z27" s="108"/>
      <c r="AA27" s="108"/>
      <c r="AB27" s="108" t="str">
        <f>IF(発注書!AB33="","",発注書!AB33)</f>
        <v/>
      </c>
      <c r="AC27" s="108"/>
      <c r="AD27" s="108"/>
      <c r="AE27" s="117"/>
    </row>
    <row r="28" spans="1:31" ht="24.6" customHeight="1">
      <c r="A28" s="46"/>
      <c r="B28" s="109"/>
      <c r="C28" s="109"/>
      <c r="D28" s="109"/>
      <c r="E28" s="113"/>
      <c r="F28" s="114"/>
      <c r="G28" s="114"/>
      <c r="H28" s="114"/>
      <c r="I28" s="114"/>
      <c r="J28" s="114"/>
      <c r="K28" s="115"/>
      <c r="L28" s="109" t="str">
        <f>IF(発注依頼票!H10="","",発注依頼票!H10)</f>
        <v/>
      </c>
      <c r="M28" s="109"/>
      <c r="N28" s="109"/>
      <c r="O28" s="109"/>
      <c r="P28" s="57"/>
      <c r="Q28" s="57"/>
      <c r="R28" s="118">
        <f>P27*R27</f>
        <v>0</v>
      </c>
      <c r="S28" s="118"/>
      <c r="T28" s="118"/>
      <c r="U28" s="118"/>
      <c r="V28" s="119"/>
      <c r="W28" s="119"/>
      <c r="X28" s="119"/>
      <c r="Y28" s="119"/>
      <c r="Z28" s="119"/>
      <c r="AA28" s="119"/>
      <c r="AB28" s="120"/>
      <c r="AC28" s="120"/>
      <c r="AD28" s="120"/>
      <c r="AE28" s="121"/>
    </row>
    <row r="29" spans="1:31" ht="24.6" customHeight="1">
      <c r="A29" s="45">
        <v>10</v>
      </c>
      <c r="B29" s="108" t="str">
        <f>IF(発注依頼票!A11="","",発注依頼票!A11)</f>
        <v/>
      </c>
      <c r="C29" s="108"/>
      <c r="D29" s="108"/>
      <c r="E29" s="110" t="str">
        <f>IF(発注依頼票!E11="","",発注依頼票!E11)</f>
        <v/>
      </c>
      <c r="F29" s="111"/>
      <c r="G29" s="111"/>
      <c r="H29" s="111"/>
      <c r="I29" s="111"/>
      <c r="J29" s="111"/>
      <c r="K29" s="112"/>
      <c r="L29" s="108" t="str">
        <f>IF(発注依頼票!G11="","",発注依頼票!G11)</f>
        <v/>
      </c>
      <c r="M29" s="108"/>
      <c r="N29" s="108"/>
      <c r="O29" s="108"/>
      <c r="P29" s="56">
        <f>IF(発注依頼票!J11="","",発注依頼票!J11)</f>
        <v>0</v>
      </c>
      <c r="Q29" s="56"/>
      <c r="R29" s="116"/>
      <c r="S29" s="116"/>
      <c r="T29" s="116"/>
      <c r="U29" s="116"/>
      <c r="V29" s="108" t="str">
        <f>IF(発注書!V35="","",発注書!V35)</f>
        <v/>
      </c>
      <c r="W29" s="108"/>
      <c r="X29" s="108"/>
      <c r="Y29" s="108"/>
      <c r="Z29" s="108"/>
      <c r="AA29" s="108"/>
      <c r="AB29" s="108" t="str">
        <f>IF(発注書!AB35="","",発注書!AB35)</f>
        <v/>
      </c>
      <c r="AC29" s="108"/>
      <c r="AD29" s="108"/>
      <c r="AE29" s="117"/>
    </row>
    <row r="30" spans="1:31" ht="24.6" customHeight="1">
      <c r="A30" s="46"/>
      <c r="B30" s="109"/>
      <c r="C30" s="109"/>
      <c r="D30" s="109"/>
      <c r="E30" s="113"/>
      <c r="F30" s="114"/>
      <c r="G30" s="114"/>
      <c r="H30" s="114"/>
      <c r="I30" s="114"/>
      <c r="J30" s="114"/>
      <c r="K30" s="115"/>
      <c r="L30" s="109" t="str">
        <f>IF(発注依頼票!H11="","",発注依頼票!H11)</f>
        <v/>
      </c>
      <c r="M30" s="109"/>
      <c r="N30" s="109"/>
      <c r="O30" s="109"/>
      <c r="P30" s="57"/>
      <c r="Q30" s="57"/>
      <c r="R30" s="118">
        <f>P29*R29</f>
        <v>0</v>
      </c>
      <c r="S30" s="118"/>
      <c r="T30" s="118"/>
      <c r="U30" s="118"/>
      <c r="V30" s="119"/>
      <c r="W30" s="119"/>
      <c r="X30" s="119"/>
      <c r="Y30" s="119"/>
      <c r="Z30" s="119"/>
      <c r="AA30" s="119"/>
      <c r="AB30" s="120"/>
      <c r="AC30" s="120"/>
      <c r="AD30" s="120"/>
      <c r="AE30" s="121"/>
    </row>
    <row r="31" spans="1:31" ht="24.6" customHeight="1">
      <c r="A31" s="122" t="s">
        <v>26</v>
      </c>
      <c r="B31" s="123"/>
      <c r="C31" s="123"/>
      <c r="D31" s="123"/>
      <c r="E31" s="123"/>
      <c r="F31" s="123"/>
      <c r="G31" s="123"/>
      <c r="H31" s="123"/>
      <c r="I31" s="123"/>
      <c r="J31" s="123"/>
      <c r="K31" s="123"/>
      <c r="L31" s="123"/>
      <c r="M31" s="123"/>
      <c r="N31" s="123"/>
      <c r="O31" s="123"/>
      <c r="P31" s="123"/>
      <c r="Q31" s="124"/>
      <c r="R31" s="125">
        <f>SUM(R12,R14,R16,R18,R20,R22,R24,R26,R28,R30)</f>
        <v>0</v>
      </c>
      <c r="S31" s="125"/>
      <c r="T31" s="125"/>
      <c r="U31" s="125"/>
      <c r="V31" s="126"/>
      <c r="W31" s="127"/>
      <c r="X31" s="127"/>
      <c r="Y31" s="127"/>
      <c r="Z31" s="127"/>
      <c r="AA31" s="127"/>
      <c r="AB31" s="127"/>
      <c r="AC31" s="127"/>
      <c r="AD31" s="127"/>
      <c r="AE31" s="128"/>
    </row>
    <row r="32" spans="1:31" ht="24.6" customHeight="1">
      <c r="A32" s="122" t="s">
        <v>27</v>
      </c>
      <c r="B32" s="123"/>
      <c r="C32" s="123"/>
      <c r="D32" s="123"/>
      <c r="E32" s="123"/>
      <c r="F32" s="123"/>
      <c r="G32" s="123"/>
      <c r="H32" s="123"/>
      <c r="I32" s="123"/>
      <c r="J32" s="123"/>
      <c r="K32" s="123"/>
      <c r="L32" s="123"/>
      <c r="M32" s="123"/>
      <c r="N32" s="123"/>
      <c r="O32" s="123"/>
      <c r="P32" s="123"/>
      <c r="Q32" s="124"/>
      <c r="R32" s="125">
        <f>ROUND(R31*0.1,0)</f>
        <v>0</v>
      </c>
      <c r="S32" s="125"/>
      <c r="T32" s="125"/>
      <c r="U32" s="125"/>
      <c r="V32" s="126"/>
      <c r="W32" s="127"/>
      <c r="X32" s="127"/>
      <c r="Y32" s="127"/>
      <c r="Z32" s="127"/>
      <c r="AA32" s="127"/>
      <c r="AB32" s="127"/>
      <c r="AC32" s="127"/>
      <c r="AD32" s="127"/>
      <c r="AE32" s="128"/>
    </row>
    <row r="33" spans="1:31" ht="24.6" customHeight="1">
      <c r="A33" s="122" t="s">
        <v>28</v>
      </c>
      <c r="B33" s="123"/>
      <c r="C33" s="123"/>
      <c r="D33" s="123"/>
      <c r="E33" s="123"/>
      <c r="F33" s="123"/>
      <c r="G33" s="123"/>
      <c r="H33" s="123"/>
      <c r="I33" s="123"/>
      <c r="J33" s="123"/>
      <c r="K33" s="123"/>
      <c r="L33" s="123"/>
      <c r="M33" s="123"/>
      <c r="N33" s="123"/>
      <c r="O33" s="123"/>
      <c r="P33" s="123"/>
      <c r="Q33" s="124"/>
      <c r="R33" s="125">
        <f>SUM(R31:U32)</f>
        <v>0</v>
      </c>
      <c r="S33" s="125"/>
      <c r="T33" s="125"/>
      <c r="U33" s="125"/>
      <c r="V33" s="126"/>
      <c r="W33" s="127"/>
      <c r="X33" s="127"/>
      <c r="Y33" s="127"/>
      <c r="Z33" s="127"/>
      <c r="AA33" s="127"/>
      <c r="AB33" s="127"/>
      <c r="AC33" s="127"/>
      <c r="AD33" s="127"/>
      <c r="AE33" s="128"/>
    </row>
    <row r="34" spans="1:31">
      <c r="A34" s="2" t="s">
        <v>29</v>
      </c>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sheetData>
  <mergeCells count="151">
    <mergeCell ref="A1:AE1"/>
    <mergeCell ref="V2:Y2"/>
    <mergeCell ref="Z2:AE2"/>
    <mergeCell ref="A3:K3"/>
    <mergeCell ref="L3:N3"/>
    <mergeCell ref="A9:A10"/>
    <mergeCell ref="B9:D10"/>
    <mergeCell ref="L9:O9"/>
    <mergeCell ref="S4:V4"/>
    <mergeCell ref="W4:AE4"/>
    <mergeCell ref="S5:V5"/>
    <mergeCell ref="W5:AE5"/>
    <mergeCell ref="P9:Q10"/>
    <mergeCell ref="R9:U9"/>
    <mergeCell ref="V9:AA9"/>
    <mergeCell ref="AB9:AE9"/>
    <mergeCell ref="L10:O10"/>
    <mergeCell ref="R10:U10"/>
    <mergeCell ref="V10:AA10"/>
    <mergeCell ref="AB10:AE10"/>
    <mergeCell ref="A13:A14"/>
    <mergeCell ref="B13:D14"/>
    <mergeCell ref="E13:K14"/>
    <mergeCell ref="L13:O13"/>
    <mergeCell ref="P13:Q14"/>
    <mergeCell ref="A11:A12"/>
    <mergeCell ref="B11:D12"/>
    <mergeCell ref="E11:K12"/>
    <mergeCell ref="L11:O11"/>
    <mergeCell ref="P11:Q12"/>
    <mergeCell ref="AB13:AE13"/>
    <mergeCell ref="L14:O14"/>
    <mergeCell ref="R14:U14"/>
    <mergeCell ref="V14:AA14"/>
    <mergeCell ref="AB14:AE14"/>
    <mergeCell ref="R13:U13"/>
    <mergeCell ref="V13:AA13"/>
    <mergeCell ref="AB11:AE11"/>
    <mergeCell ref="L12:O12"/>
    <mergeCell ref="R12:U12"/>
    <mergeCell ref="V12:AA12"/>
    <mergeCell ref="AB12:AE12"/>
    <mergeCell ref="R11:U11"/>
    <mergeCell ref="V11:AA11"/>
    <mergeCell ref="V15:AA15"/>
    <mergeCell ref="AB15:AE15"/>
    <mergeCell ref="L16:O16"/>
    <mergeCell ref="R16:U16"/>
    <mergeCell ref="V16:AA16"/>
    <mergeCell ref="AB16:AE16"/>
    <mergeCell ref="R15:U15"/>
    <mergeCell ref="A15:A16"/>
    <mergeCell ref="B15:D16"/>
    <mergeCell ref="E15:K16"/>
    <mergeCell ref="L15:O15"/>
    <mergeCell ref="P15:Q16"/>
    <mergeCell ref="AB17:AE17"/>
    <mergeCell ref="L18:O18"/>
    <mergeCell ref="R18:U18"/>
    <mergeCell ref="V18:AA18"/>
    <mergeCell ref="AB18:AE18"/>
    <mergeCell ref="R17:U17"/>
    <mergeCell ref="A17:A18"/>
    <mergeCell ref="B17:D18"/>
    <mergeCell ref="E17:K18"/>
    <mergeCell ref="L17:O17"/>
    <mergeCell ref="P17:Q18"/>
    <mergeCell ref="A33:Q33"/>
    <mergeCell ref="R33:U33"/>
    <mergeCell ref="V33:AE33"/>
    <mergeCell ref="B7:AD7"/>
    <mergeCell ref="E9:K10"/>
    <mergeCell ref="A31:Q31"/>
    <mergeCell ref="R31:U31"/>
    <mergeCell ref="V31:AE31"/>
    <mergeCell ref="A32:Q32"/>
    <mergeCell ref="R32:U32"/>
    <mergeCell ref="V32:AE32"/>
    <mergeCell ref="V19:AA19"/>
    <mergeCell ref="AB19:AE19"/>
    <mergeCell ref="L20:O20"/>
    <mergeCell ref="R20:U20"/>
    <mergeCell ref="V20:AA20"/>
    <mergeCell ref="AB20:AE20"/>
    <mergeCell ref="A19:A20"/>
    <mergeCell ref="B19:D20"/>
    <mergeCell ref="E19:K20"/>
    <mergeCell ref="L19:O19"/>
    <mergeCell ref="P19:Q20"/>
    <mergeCell ref="R19:U19"/>
    <mergeCell ref="V17:AA17"/>
    <mergeCell ref="R21:U21"/>
    <mergeCell ref="V21:AA21"/>
    <mergeCell ref="AB21:AE21"/>
    <mergeCell ref="L22:O22"/>
    <mergeCell ref="R22:U22"/>
    <mergeCell ref="V22:AA22"/>
    <mergeCell ref="AB22:AE22"/>
    <mergeCell ref="A21:A22"/>
    <mergeCell ref="B21:D22"/>
    <mergeCell ref="E21:K22"/>
    <mergeCell ref="L21:O21"/>
    <mergeCell ref="P21:Q22"/>
    <mergeCell ref="A23:A24"/>
    <mergeCell ref="B23:D24"/>
    <mergeCell ref="E23:K24"/>
    <mergeCell ref="L23:O23"/>
    <mergeCell ref="P23:Q24"/>
    <mergeCell ref="R23:U23"/>
    <mergeCell ref="V23:AA23"/>
    <mergeCell ref="AB23:AE23"/>
    <mergeCell ref="L24:O24"/>
    <mergeCell ref="R24:U24"/>
    <mergeCell ref="V24:AA24"/>
    <mergeCell ref="AB24:AE24"/>
    <mergeCell ref="A25:A26"/>
    <mergeCell ref="B25:D26"/>
    <mergeCell ref="E25:K26"/>
    <mergeCell ref="L25:O25"/>
    <mergeCell ref="P25:Q26"/>
    <mergeCell ref="R25:U25"/>
    <mergeCell ref="V25:AA25"/>
    <mergeCell ref="AB25:AE25"/>
    <mergeCell ref="L26:O26"/>
    <mergeCell ref="R26:U26"/>
    <mergeCell ref="V26:AA26"/>
    <mergeCell ref="AB26:AE26"/>
    <mergeCell ref="A27:A28"/>
    <mergeCell ref="B27:D28"/>
    <mergeCell ref="E27:K28"/>
    <mergeCell ref="L27:O27"/>
    <mergeCell ref="P27:Q28"/>
    <mergeCell ref="R27:U27"/>
    <mergeCell ref="V27:AA27"/>
    <mergeCell ref="AB27:AE27"/>
    <mergeCell ref="L28:O28"/>
    <mergeCell ref="R28:U28"/>
    <mergeCell ref="V28:AA28"/>
    <mergeCell ref="AB28:AE28"/>
    <mergeCell ref="A29:A30"/>
    <mergeCell ref="B29:D30"/>
    <mergeCell ref="E29:K30"/>
    <mergeCell ref="L29:O29"/>
    <mergeCell ref="P29:Q30"/>
    <mergeCell ref="R29:U29"/>
    <mergeCell ref="V29:AA29"/>
    <mergeCell ref="AB29:AE29"/>
    <mergeCell ref="L30:O30"/>
    <mergeCell ref="R30:U30"/>
    <mergeCell ref="V30:AA30"/>
    <mergeCell ref="AB30:AE30"/>
  </mergeCells>
  <phoneticPr fontId="5"/>
  <pageMargins left="0.7" right="0.7" top="0.75" bottom="0.75" header="0.3" footer="0.3"/>
  <pageSetup paperSize="9" scale="76"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発注依頼票</vt:lpstr>
      <vt:lpstr>発注書</vt:lpstr>
      <vt:lpstr>発注請書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konnos</dc:creator>
  <cp:lastModifiedBy>千賀 聡志</cp:lastModifiedBy>
  <cp:lastPrinted>2026-01-05T01:04:17Z</cp:lastPrinted>
  <dcterms:created xsi:type="dcterms:W3CDTF">2015-03-12T10:02:07Z</dcterms:created>
  <dcterms:modified xsi:type="dcterms:W3CDTF">2026-01-20T08:21:38Z</dcterms:modified>
</cp:coreProperties>
</file>